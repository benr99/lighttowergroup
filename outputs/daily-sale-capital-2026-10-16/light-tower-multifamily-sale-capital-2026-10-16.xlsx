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2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13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4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15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16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dfbcd190e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43a68b1e21af4c68"/>
    <x:sheet xmlns:r="http://schemas.openxmlformats.org/officeDocument/2006/relationships" name="Run 2026-09-07" sheetId="2" r:id="R9912889fce2c4421"/>
    <x:sheet xmlns:r="http://schemas.openxmlformats.org/officeDocument/2006/relationships" name="Run 2026-09-08" sheetId="3" r:id="R36b922ddc4184551"/>
    <x:sheet xmlns:r="http://schemas.openxmlformats.org/officeDocument/2006/relationships" name="Run 2026-09-09" sheetId="4" r:id="Rae0dc05720d648dc"/>
    <x:sheet xmlns:r="http://schemas.openxmlformats.org/officeDocument/2006/relationships" name="Run 2026-09-10" sheetId="5" r:id="R829a4dac70894255"/>
    <x:sheet xmlns:r="http://schemas.openxmlformats.org/officeDocument/2006/relationships" name="Run 2026-09-14" sheetId="6" r:id="Rdd7544c219f34bd5"/>
    <x:sheet xmlns:r="http://schemas.openxmlformats.org/officeDocument/2006/relationships" name="Run 2026-09-15" sheetId="7" r:id="R1af6f8cbb8404e6c"/>
    <x:sheet xmlns:r="http://schemas.openxmlformats.org/officeDocument/2006/relationships" name="Run 2026-10-07" sheetId="8" r:id="Rd64182c9d6c14b3d"/>
    <x:sheet xmlns:r="http://schemas.openxmlformats.org/officeDocument/2006/relationships" name="Run 2026-10-08" sheetId="9" r:id="R93ab58dd3b4b4e39"/>
    <x:sheet xmlns:r="http://schemas.openxmlformats.org/officeDocument/2006/relationships" name="Run 2026-10-10" sheetId="10" r:id="Raeec276ddc964218"/>
    <x:sheet xmlns:r="http://schemas.openxmlformats.org/officeDocument/2006/relationships" name="Run 2026-10-11" sheetId="11" r:id="R4bc4ef95cd43486a"/>
    <x:sheet xmlns:r="http://schemas.openxmlformats.org/officeDocument/2006/relationships" name="Run 2026-10-12" sheetId="12" r:id="R8740d085f95745d2"/>
    <x:sheet xmlns:r="http://schemas.openxmlformats.org/officeDocument/2006/relationships" name="Run 2026-10-13" sheetId="13" r:id="Rc3ef49e88e8f459f"/>
    <x:sheet xmlns:r="http://schemas.openxmlformats.org/officeDocument/2006/relationships" name="Run 2026-10-14" sheetId="14" r:id="Re89b8a75ad714cd6"/>
    <x:sheet xmlns:r="http://schemas.openxmlformats.org/officeDocument/2006/relationships" name="Run 2026-10-15" sheetId="15" r:id="Rb604ef4e664c4ce0"/>
    <x:sheet xmlns:r="http://schemas.openxmlformats.org/officeDocument/2006/relationships" name="Run 2026-10-16" sheetId="16" r:id="R671fd3589cfd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8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1" fillId="56" borderId="0" xfId="0" applyNumberFormat="1" applyFont="1" applyFill="1" applyBorder="1"/>
    <x:xf numFmtId="0" fontId="11" fillId="56" borderId="0" xfId="0" applyNumberFormat="1" applyFont="1" applyFill="1" applyBorder="1" applyAlignment="1">
      <x:alignment wrapText="1"/>
    </x:xf>
    <x:xf numFmtId="0" fontId="11" fillId="56" borderId="0" xfId="0" applyNumberFormat="1" applyFont="1" applyFill="1" applyBorder="1" applyAlignment="1">
      <x:alignment horizontal="center" wrapText="1"/>
    </x:xf>
    <x:xf numFmtId="0" fontId="11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0" fillId="58" borderId="0" xfId="0" applyNumberFormat="1" applyFont="1" applyFill="1" applyBorder="1"/>
    <x:xf numFmtId="0" fontId="9" fillId="58" borderId="0" xfId="0" applyNumberFormat="1" applyFont="1" applyFill="1" applyBorder="1"/>
    <x:xf numFmtId="0" fontId="0" fillId="59" borderId="0" xfId="0" applyNumberFormat="1" applyFont="1" applyFill="1" applyBorder="1"/>
    <x:xf numFmtId="0" fontId="10" fillId="59" borderId="0" xfId="0" applyNumberFormat="1" applyFont="1" applyFill="1" applyBorder="1"/>
    <x:xf numFmtId="0" fontId="0" fillId="60" borderId="0" xfId="0" applyNumberFormat="1" applyFont="1" applyFill="1" applyBorder="1"/>
    <x:xf numFmtId="0" fontId="10" fillId="60" borderId="0" xfId="0" applyNumberFormat="1" applyFont="1" applyFill="1" applyBorder="1"/>
    <x:xf numFmtId="0" fontId="0" fillId="61" borderId="0" xfId="0" applyNumberFormat="1" applyFont="1" applyFill="1" applyBorder="1"/>
    <x:xf numFmtId="0" fontId="11" fillId="61" borderId="0" xfId="0" applyNumberFormat="1" applyFont="1" applyFill="1" applyBorder="1"/>
    <x:xf numFmtId="0" fontId="11" fillId="61" borderId="0" xfId="0" applyNumberFormat="1" applyFont="1" applyFill="1" applyBorder="1" applyAlignment="1">
      <x:alignment wrapText="1"/>
    </x:xf>
    <x:xf numFmtId="0" fontId="11" fillId="61" borderId="0" xfId="0" applyNumberFormat="1" applyFont="1" applyFill="1" applyBorder="1" applyAlignment="1">
      <x:alignment horizontal="center" wrapText="1"/>
    </x:xf>
    <x:xf numFmtId="0" fontId="11" fillId="61" borderId="0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/>
    <x:xf numFmtId="0" fontId="8" fillId="62" borderId="0" xfId="0" applyNumberFormat="1" applyFont="1" applyFill="1" applyBorder="1"/>
    <x:xf numFmtId="0" fontId="0" fillId="63" borderId="0" xfId="0" applyNumberFormat="1" applyFont="1" applyFill="1" applyBorder="1"/>
    <x:xf numFmtId="0" fontId="9" fillId="63" borderId="0" xfId="0" applyNumberFormat="1" applyFont="1" applyFill="1" applyBorder="1"/>
    <x:xf numFmtId="0" fontId="0" fillId="64" borderId="0" xfId="0" applyNumberFormat="1" applyFont="1" applyFill="1" applyBorder="1"/>
    <x:xf numFmtId="0" fontId="10" fillId="64" borderId="0" xfId="0" applyNumberFormat="1" applyFont="1" applyFill="1" applyBorder="1"/>
    <x:xf numFmtId="0" fontId="0" fillId="65" borderId="0" xfId="0" applyNumberFormat="1" applyFont="1" applyFill="1" applyBorder="1"/>
    <x:xf numFmtId="0" fontId="10" fillId="65" borderId="0" xfId="0" applyNumberFormat="1" applyFont="1" applyFill="1" applyBorder="1"/>
    <x:xf numFmtId="0" fontId="0" fillId="66" borderId="0" xfId="0" applyNumberFormat="1" applyFont="1" applyFill="1" applyBorder="1"/>
    <x:xf numFmtId="0" fontId="11" fillId="66" borderId="0" xfId="0" applyNumberFormat="1" applyFont="1" applyFill="1" applyBorder="1"/>
    <x:xf numFmtId="0" fontId="11" fillId="66" borderId="0" xfId="0" applyNumberFormat="1" applyFont="1" applyFill="1" applyBorder="1" applyAlignment="1">
      <x:alignment wrapText="1"/>
    </x:xf>
    <x:xf numFmtId="0" fontId="11" fillId="66" borderId="0" xfId="0" applyNumberFormat="1" applyFont="1" applyFill="1" applyBorder="1" applyAlignment="1">
      <x:alignment horizontal="center" wrapText="1"/>
    </x:xf>
    <x:xf numFmtId="0" fontId="11" fillId="66" borderId="0" xfId="0" applyNumberFormat="1" applyFont="1" applyFill="1" applyBorder="1" applyAlignment="1">
      <x:alignment horizontal="center" vertical="center" wrapText="1"/>
    </x:xf>
    <x:xf numFmtId="0" fontId="0" fillId="67" borderId="0" xfId="0" applyNumberFormat="1" applyFont="1" applyFill="1" applyBorder="1"/>
    <x:xf numFmtId="0" fontId="8" fillId="67" borderId="0" xfId="0" applyNumberFormat="1" applyFont="1" applyFill="1" applyBorder="1"/>
    <x:xf numFmtId="0" fontId="0" fillId="68" borderId="0" xfId="0" applyNumberFormat="1" applyFont="1" applyFill="1" applyBorder="1"/>
    <x:xf numFmtId="0" fontId="9" fillId="68" borderId="0" xfId="0" applyNumberFormat="1" applyFont="1" applyFill="1" applyBorder="1"/>
    <x:xf numFmtId="0" fontId="0" fillId="69" borderId="0" xfId="0" applyNumberFormat="1" applyFont="1" applyFill="1" applyBorder="1"/>
    <x:xf numFmtId="0" fontId="10" fillId="69" borderId="0" xfId="0" applyNumberFormat="1" applyFont="1" applyFill="1" applyBorder="1"/>
    <x:xf numFmtId="0" fontId="0" fillId="70" borderId="0" xfId="0" applyNumberFormat="1" applyFont="1" applyFill="1" applyBorder="1"/>
    <x:xf numFmtId="0" fontId="10" fillId="70" borderId="0" xfId="0" applyNumberFormat="1" applyFont="1" applyFill="1" applyBorder="1"/>
    <x:xf numFmtId="0" fontId="0" fillId="71" borderId="0" xfId="0" applyNumberFormat="1" applyFont="1" applyFill="1" applyBorder="1"/>
    <x:xf numFmtId="0" fontId="11" fillId="71" borderId="0" xfId="0" applyNumberFormat="1" applyFont="1" applyFill="1" applyBorder="1"/>
    <x:xf numFmtId="0" fontId="11" fillId="71" borderId="0" xfId="0" applyNumberFormat="1" applyFont="1" applyFill="1" applyBorder="1" applyAlignment="1">
      <x:alignment wrapText="1"/>
    </x:xf>
    <x:xf numFmtId="0" fontId="11" fillId="71" borderId="0" xfId="0" applyNumberFormat="1" applyFont="1" applyFill="1" applyBorder="1" applyAlignment="1">
      <x:alignment horizontal="center" wrapText="1"/>
    </x:xf>
    <x:xf numFmtId="0" fontId="11" fillId="71" borderId="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8" fillId="72" borderId="0" xfId="0" applyNumberFormat="1" applyFont="1" applyFill="1" applyBorder="1"/>
    <x:xf numFmtId="0" fontId="0" fillId="73" borderId="0" xfId="0" applyNumberFormat="1" applyFont="1" applyFill="1" applyBorder="1"/>
    <x:xf numFmtId="0" fontId="9" fillId="73" borderId="0" xfId="0" applyNumberFormat="1" applyFont="1" applyFill="1" applyBorder="1"/>
    <x:xf numFmtId="0" fontId="0" fillId="74" borderId="0" xfId="0" applyNumberFormat="1" applyFont="1" applyFill="1" applyBorder="1"/>
    <x:xf numFmtId="0" fontId="10" fillId="74" borderId="0" xfId="0" applyNumberFormat="1" applyFont="1" applyFill="1" applyBorder="1"/>
    <x:xf numFmtId="0" fontId="0" fillId="75" borderId="0" xfId="0" applyNumberFormat="1" applyFont="1" applyFill="1" applyBorder="1"/>
    <x:xf numFmtId="0" fontId="10" fillId="75" borderId="0" xfId="0" applyNumberFormat="1" applyFont="1" applyFill="1" applyBorder="1"/>
    <x:xf numFmtId="0" fontId="0" fillId="76" borderId="0" xfId="0" applyNumberFormat="1" applyFont="1" applyFill="1" applyBorder="1"/>
    <x:xf numFmtId="0" fontId="11" fillId="76" borderId="0" xfId="0" applyNumberFormat="1" applyFont="1" applyFill="1" applyBorder="1"/>
    <x:xf numFmtId="0" fontId="11" fillId="76" borderId="0" xfId="0" applyNumberFormat="1" applyFont="1" applyFill="1" applyBorder="1" applyAlignment="1">
      <x:alignment wrapText="1"/>
    </x:xf>
    <x:xf numFmtId="0" fontId="11" fillId="76" borderId="0" xfId="0" applyNumberFormat="1" applyFont="1" applyFill="1" applyBorder="1" applyAlignment="1">
      <x:alignment horizontal="center" wrapText="1"/>
    </x:xf>
    <x:xf numFmtId="0" fontId="11" fillId="76" borderId="0" xfId="0" applyNumberFormat="1" applyFont="1" applyFill="1" applyBorder="1" applyAlignment="1">
      <x:alignment horizontal="center" vertical="center" wrapText="1"/>
    </x:xf>
    <x:xf numFmtId="0" fontId="0" fillId="77" borderId="0" xfId="0" applyNumberFormat="1" applyFont="1" applyFill="1" applyBorder="1"/>
    <x:xf numFmtId="0" fontId="8" fillId="77" borderId="0" xfId="0" applyNumberFormat="1" applyFont="1" applyFill="1" applyBorder="1"/>
    <x:xf numFmtId="0" fontId="0" fillId="78" borderId="0" xfId="0" applyNumberFormat="1" applyFont="1" applyFill="1" applyBorder="1"/>
    <x:xf numFmtId="0" fontId="9" fillId="78" borderId="0" xfId="0" applyNumberFormat="1" applyFont="1" applyFill="1" applyBorder="1"/>
    <x:xf numFmtId="0" fontId="0" fillId="79" borderId="0" xfId="0" applyNumberFormat="1" applyFont="1" applyFill="1" applyBorder="1"/>
    <x:xf numFmtId="0" fontId="10" fillId="79" borderId="0" xfId="0" applyNumberFormat="1" applyFont="1" applyFill="1" applyBorder="1"/>
    <x:xf numFmtId="0" fontId="0" fillId="80" borderId="0" xfId="0" applyNumberFormat="1" applyFont="1" applyFill="1" applyBorder="1"/>
    <x:xf numFmtId="0" fontId="10" fillId="80" borderId="0" xfId="0" applyNumberFormat="1" applyFont="1" applyFill="1" applyBorder="1"/>
    <x:xf numFmtId="0" fontId="0" fillId="81" borderId="0" xfId="0" applyNumberFormat="1" applyFont="1" applyFill="1" applyBorder="1"/>
    <x:xf numFmtId="0" fontId="11" fillId="81" borderId="0" xfId="0" applyNumberFormat="1" applyFont="1" applyFill="1" applyBorder="1"/>
    <x:xf numFmtId="0" fontId="11" fillId="81" borderId="0" xfId="0" applyNumberFormat="1" applyFont="1" applyFill="1" applyBorder="1" applyAlignment="1">
      <x:alignment wrapText="1"/>
    </x:xf>
    <x:xf numFmtId="0" fontId="11" fillId="81" borderId="0" xfId="0" applyNumberFormat="1" applyFont="1" applyFill="1" applyBorder="1" applyAlignment="1">
      <x:alignment horizontal="center" wrapText="1"/>
    </x:xf>
    <x:xf numFmtId="0" fontId="11" fillId="81" borderId="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8" fillId="82" borderId="0" xfId="0" applyNumberFormat="1" applyFont="1" applyFill="1" applyBorder="1"/>
    <x:xf numFmtId="0" fontId="0" fillId="83" borderId="0" xfId="0" applyNumberFormat="1" applyFont="1" applyFill="1" applyBorder="1"/>
    <x:xf numFmtId="0" fontId="9" fillId="83" borderId="0" xfId="0" applyNumberFormat="1" applyFont="1" applyFill="1" applyBorder="1"/>
    <x:xf numFmtId="0" fontId="0" fillId="84" borderId="0" xfId="0" applyNumberFormat="1" applyFont="1" applyFill="1" applyBorder="1"/>
    <x:xf numFmtId="0" fontId="10" fillId="84" borderId="0" xfId="0" applyNumberFormat="1" applyFont="1" applyFill="1" applyBorder="1"/>
    <x:xf numFmtId="0" fontId="0" fillId="85" borderId="0" xfId="0" applyNumberFormat="1" applyFont="1" applyFill="1" applyBorder="1"/>
    <x:xf numFmtId="0" fontId="10" fillId="85" borderId="0" xfId="0" applyNumberFormat="1" applyFont="1" applyFill="1" applyBorder="1"/>
    <x:xf numFmtId="0" fontId="0" fillId="86" borderId="0" xfId="0" applyNumberFormat="1" applyFont="1" applyFill="1" applyBorder="1"/>
    <x:xf numFmtId="0" fontId="11" fillId="86" borderId="0" xfId="0" applyNumberFormat="1" applyFont="1" applyFill="1" applyBorder="1"/>
    <x:xf numFmtId="0" fontId="11" fillId="86" borderId="0" xfId="0" applyNumberFormat="1" applyFont="1" applyFill="1" applyBorder="1" applyAlignment="1">
      <x:alignment wrapText="1"/>
    </x:xf>
    <x:xf numFmtId="0" fontId="11" fillId="86" borderId="0" xfId="0" applyNumberFormat="1" applyFont="1" applyFill="1" applyBorder="1" applyAlignment="1">
      <x:alignment horizontal="center" wrapText="1"/>
    </x:xf>
    <x:xf numFmtId="0" fontId="11" fillId="8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85f774abe45df" /><Relationship Type="http://schemas.openxmlformats.org/officeDocument/2006/relationships/theme" Target="/xl/theme/theme1.xml" Id="R790896bb61924892" /><Relationship Type="http://schemas.openxmlformats.org/officeDocument/2006/relationships/sharedStrings" Target="/xl/sharedStrings.xml" Id="R3939b211c535480e" /><Relationship Type="http://schemas.openxmlformats.org/officeDocument/2006/relationships/worksheet" Target="/xl/worksheets/sheet1.xml" Id="R43a68b1e21af4c68" /><Relationship Type="http://schemas.openxmlformats.org/officeDocument/2006/relationships/worksheet" Target="/xl/worksheets/sheet2.xml" Id="R9912889fce2c4421" /><Relationship Type="http://schemas.openxmlformats.org/officeDocument/2006/relationships/worksheet" Target="/xl/worksheets/sheet3.xml" Id="R36b922ddc4184551" /><Relationship Type="http://schemas.openxmlformats.org/officeDocument/2006/relationships/worksheet" Target="/xl/worksheets/sheet4.xml" Id="Rae0dc05720d648dc" /><Relationship Type="http://schemas.openxmlformats.org/officeDocument/2006/relationships/worksheet" Target="/xl/worksheets/sheet5.xml" Id="R829a4dac70894255" /><Relationship Type="http://schemas.openxmlformats.org/officeDocument/2006/relationships/worksheet" Target="/xl/worksheets/sheet6.xml" Id="Rdd7544c219f34bd5" /><Relationship Type="http://schemas.openxmlformats.org/officeDocument/2006/relationships/worksheet" Target="/xl/worksheets/sheet7.xml" Id="R1af6f8cbb8404e6c" /><Relationship Type="http://schemas.openxmlformats.org/officeDocument/2006/relationships/worksheet" Target="/xl/worksheets/sheet8.xml" Id="Rd64182c9d6c14b3d" /><Relationship Type="http://schemas.openxmlformats.org/officeDocument/2006/relationships/worksheet" Target="/xl/worksheets/sheet9.xml" Id="R93ab58dd3b4b4e39" /><Relationship Type="http://schemas.openxmlformats.org/officeDocument/2006/relationships/worksheet" Target="/xl/worksheets/sheet10.xml" Id="Raeec276ddc964218" /><Relationship Type="http://schemas.openxmlformats.org/officeDocument/2006/relationships/worksheet" Target="/xl/worksheets/sheet11.xml" Id="R4bc4ef95cd43486a" /><Relationship Type="http://schemas.openxmlformats.org/officeDocument/2006/relationships/worksheet" Target="/xl/worksheets/sheet12.xml" Id="R8740d085f95745d2" /><Relationship Type="http://schemas.openxmlformats.org/officeDocument/2006/relationships/worksheet" Target="/xl/worksheets/sheet13.xml" Id="Rc3ef49e88e8f459f" /><Relationship Type="http://schemas.openxmlformats.org/officeDocument/2006/relationships/worksheet" Target="/xl/worksheets/sheet14.xml" Id="Re89b8a75ad714cd6" /><Relationship Type="http://schemas.openxmlformats.org/officeDocument/2006/relationships/worksheet" Target="/xl/worksheets/sheet15.xml" Id="Rb604ef4e664c4ce0" /><Relationship Type="http://schemas.openxmlformats.org/officeDocument/2006/relationships/worksheet" Target="/xl/worksheets/sheet16.xml" Id="R671fd3589cfd435c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5.xml><?xml version="1.0" encoding="utf-8"?>
<x:table xmlns:x="http://schemas.openxmlformats.org/spreadsheetml/2006/main" id="25" name="ActionQueue20261010" displayName="ActionQueue202610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atch20261010" displayName="Watch20261010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Exclusions20261010" displayName="Exclusions20261010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8.xml><?xml version="1.0" encoding="utf-8"?>
<x:table xmlns:x="http://schemas.openxmlformats.org/spreadsheetml/2006/main" id="28" name="ActionQueue20261011" displayName="ActionQueue20261011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Watch20261011" displayName="Watch20261011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Exclusions20261011" displayName="Exclusions20261011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1.xml><?xml version="1.0" encoding="utf-8"?>
<x:table xmlns:x="http://schemas.openxmlformats.org/spreadsheetml/2006/main" id="31" name="ActionQueue20261012" displayName="ActionQueue20261012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Watch20261012" displayName="Watch20261012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Exclusions20261012" displayName="Exclusions20261012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4.xml><?xml version="1.0" encoding="utf-8"?>
<x:table xmlns:x="http://schemas.openxmlformats.org/spreadsheetml/2006/main" id="34" name="ActionQueue20261013" displayName="ActionQueue20261013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Watch20261013" displayName="Watch20261013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6.xml><?xml version="1.0" encoding="utf-8"?>
<x:table xmlns:x="http://schemas.openxmlformats.org/spreadsheetml/2006/main" id="36" name="Exclusions20261013" displayName="Exclusions20261013" ref="A39:C5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7.xml><?xml version="1.0" encoding="utf-8"?>
<x:table xmlns:x="http://schemas.openxmlformats.org/spreadsheetml/2006/main" id="37" name="ActionQueue20261014" displayName="ActionQueue202610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Watch20261014" displayName="Watch20261014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9.xml><?xml version="1.0" encoding="utf-8"?>
<x:table xmlns:x="http://schemas.openxmlformats.org/spreadsheetml/2006/main" id="39" name="Exclusions20261014" displayName="Exclusions20261014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0.xml><?xml version="1.0" encoding="utf-8"?>
<x:table xmlns:x="http://schemas.openxmlformats.org/spreadsheetml/2006/main" id="40" name="ActionQueue20261015" displayName="ActionQueue20261015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Watch20261015" displayName="Watch20261015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2.xml><?xml version="1.0" encoding="utf-8"?>
<x:table xmlns:x="http://schemas.openxmlformats.org/spreadsheetml/2006/main" id="42" name="Exclusions20261015" displayName="Exclusions20261015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3.xml><?xml version="1.0" encoding="utf-8"?>
<x:table xmlns:x="http://schemas.openxmlformats.org/spreadsheetml/2006/main" id="43" name="ActionQueue20261016" displayName="ActionQueue20261016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Watch20261016" displayName="Watch20261016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5.xml><?xml version="1.0" encoding="utf-8"?>
<x:table xmlns:x="http://schemas.openxmlformats.org/spreadsheetml/2006/main" id="45" name="Exclusions20261016" displayName="Exclusions20261016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68ba886258416d" /><Relationship Type="http://schemas.openxmlformats.org/officeDocument/2006/relationships/table" Target="/xl/tables/table2.xml" Id="Rd30689ee1d104c87" /><Relationship Type="http://schemas.openxmlformats.org/officeDocument/2006/relationships/table" Target="/xl/tables/table3.xml" Id="R4a308f4c77554a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397944a4f3d4db2" /><Relationship Type="http://schemas.openxmlformats.org/officeDocument/2006/relationships/table" Target="/xl/tables/table5.xml" Id="R5996b947e0674f43" /><Relationship Type="http://schemas.openxmlformats.org/officeDocument/2006/relationships/table" Target="/xl/tables/table6.xml" Id="Rebe20bf1822441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febb2923387b4167" /><Relationship Type="http://schemas.openxmlformats.org/officeDocument/2006/relationships/table" Target="/xl/tables/table8.xml" Id="R79dea08325c94d13" /><Relationship Type="http://schemas.openxmlformats.org/officeDocument/2006/relationships/table" Target="/xl/tables/table9.xml" Id="R343207102fec4c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365833e9cb7a4a37" /><Relationship Type="http://schemas.openxmlformats.org/officeDocument/2006/relationships/table" Target="/xl/tables/table11.xml" Id="Rb77bb4b3b22845fa" /><Relationship Type="http://schemas.openxmlformats.org/officeDocument/2006/relationships/table" Target="/xl/tables/table12.xml" Id="Ra0f41ba499144b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e818bd1df05a4cd7" /><Relationship Type="http://schemas.openxmlformats.org/officeDocument/2006/relationships/table" Target="/xl/tables/table14.xml" Id="Rb4f6e840b7bc44d8" /><Relationship Type="http://schemas.openxmlformats.org/officeDocument/2006/relationships/table" Target="/xl/tables/table15.xml" Id="R190a1b152e2949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088c86a8852b4592" /><Relationship Type="http://schemas.openxmlformats.org/officeDocument/2006/relationships/table" Target="/xl/tables/table17.xml" Id="R914772a141554521" /><Relationship Type="http://schemas.openxmlformats.org/officeDocument/2006/relationships/table" Target="/xl/tables/table18.xml" Id="Rd0164370f5fc4c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741f53fbd3464949" /><Relationship Type="http://schemas.openxmlformats.org/officeDocument/2006/relationships/table" Target="/xl/tables/table20.xml" Id="Rb4e4fdacbc044ec2" /><Relationship Type="http://schemas.openxmlformats.org/officeDocument/2006/relationships/table" Target="/xl/tables/table21.xml" Id="R1c401a5fb88149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75eb4b9b61f04f2b" /><Relationship Type="http://schemas.openxmlformats.org/officeDocument/2006/relationships/table" Target="/xl/tables/table23.xml" Id="R9167fec0795e4232" /><Relationship Type="http://schemas.openxmlformats.org/officeDocument/2006/relationships/table" Target="/xl/tables/table24.xml" Id="Rff405396ceff4d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5cc6b03264d94531" /><Relationship Type="http://schemas.openxmlformats.org/officeDocument/2006/relationships/table" Target="/xl/tables/table26.xml" Id="R4b789848118e4667" /><Relationship Type="http://schemas.openxmlformats.org/officeDocument/2006/relationships/table" Target="/xl/tables/table27.xml" Id="R9ff88dabfea646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8.xml" Id="R5483f57c5720405c" /><Relationship Type="http://schemas.openxmlformats.org/officeDocument/2006/relationships/table" Target="/xl/tables/table29.xml" Id="R0593036b31914271" /><Relationship Type="http://schemas.openxmlformats.org/officeDocument/2006/relationships/table" Target="/xl/tables/table30.xml" Id="R4eed3a78b97740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1.xml" Id="Ra760ae71295542cb" /><Relationship Type="http://schemas.openxmlformats.org/officeDocument/2006/relationships/table" Target="/xl/tables/table32.xml" Id="Re1e73702cf304127" /><Relationship Type="http://schemas.openxmlformats.org/officeDocument/2006/relationships/table" Target="/xl/tables/table33.xml" Id="Re2ce39a8cadb44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4.xml" Id="R881ea900a18a4622" /><Relationship Type="http://schemas.openxmlformats.org/officeDocument/2006/relationships/table" Target="/xl/tables/table35.xml" Id="R3c8edd1c4c5c413a" /><Relationship Type="http://schemas.openxmlformats.org/officeDocument/2006/relationships/table" Target="/xl/tables/table36.xml" Id="R3c1baf471dcd4f4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7.xml" Id="Rda915f1102374be2" /><Relationship Type="http://schemas.openxmlformats.org/officeDocument/2006/relationships/table" Target="/xl/tables/table38.xml" Id="R37d50453ddf44ae9" /><Relationship Type="http://schemas.openxmlformats.org/officeDocument/2006/relationships/table" Target="/xl/tables/table39.xml" Id="R4b95f52cdb11482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0.xml" Id="R4d2977d0035a4df7" /><Relationship Type="http://schemas.openxmlformats.org/officeDocument/2006/relationships/table" Target="/xl/tables/table41.xml" Id="Rd76f45c70ddb4113" /><Relationship Type="http://schemas.openxmlformats.org/officeDocument/2006/relationships/table" Target="/xl/tables/table42.xml" Id="R9aeb0bc3d1b74f2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3.xml" Id="Rf8148b5bda2144cf" /><Relationship Type="http://schemas.openxmlformats.org/officeDocument/2006/relationships/table" Target="/xl/tables/table44.xml" Id="R0dbe9177e15548d7" /><Relationship Type="http://schemas.openxmlformats.org/officeDocument/2006/relationships/table" Target="/xl/tables/table45.xml" Id="R502f48c1b6f448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7468ba886258416d"/>
    <x:tablePart xmlns:r="http://schemas.openxmlformats.org/officeDocument/2006/relationships" r:id="Rd30689ee1d104c87"/>
    <x:tablePart xmlns:r="http://schemas.openxmlformats.org/officeDocument/2006/relationships" r:id="R4a308f4c77554a9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3397944a4f3d4db2"/>
    <x:tablePart xmlns:r="http://schemas.openxmlformats.org/officeDocument/2006/relationships" r:id="R5996b947e0674f43"/>
    <x:tablePart xmlns:r="http://schemas.openxmlformats.org/officeDocument/2006/relationships" r:id="Rebe20bf1822441b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febb2923387b4167"/>
    <x:tablePart xmlns:r="http://schemas.openxmlformats.org/officeDocument/2006/relationships" r:id="R79dea08325c94d13"/>
    <x:tablePart xmlns:r="http://schemas.openxmlformats.org/officeDocument/2006/relationships" r:id="R343207102fec4ca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365833e9cb7a4a37"/>
    <x:tablePart xmlns:r="http://schemas.openxmlformats.org/officeDocument/2006/relationships" r:id="Rb77bb4b3b22845fa"/>
    <x:tablePart xmlns:r="http://schemas.openxmlformats.org/officeDocument/2006/relationships" r:id="Ra0f41ba499144b5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e818bd1df05a4cd7"/>
    <x:tablePart xmlns:r="http://schemas.openxmlformats.org/officeDocument/2006/relationships" r:id="Rb4f6e840b7bc44d8"/>
    <x:tablePart xmlns:r="http://schemas.openxmlformats.org/officeDocument/2006/relationships" r:id="R190a1b152e2949f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088c86a8852b4592"/>
    <x:tablePart xmlns:r="http://schemas.openxmlformats.org/officeDocument/2006/relationships" r:id="R914772a141554521"/>
    <x:tablePart xmlns:r="http://schemas.openxmlformats.org/officeDocument/2006/relationships" r:id="Rd0164370f5fc4c0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741f53fbd3464949"/>
    <x:tablePart xmlns:r="http://schemas.openxmlformats.org/officeDocument/2006/relationships" r:id="Rb4e4fdacbc044ec2"/>
    <x:tablePart xmlns:r="http://schemas.openxmlformats.org/officeDocument/2006/relationships" r:id="R1c401a5fb881493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75eb4b9b61f04f2b"/>
    <x:tablePart xmlns:r="http://schemas.openxmlformats.org/officeDocument/2006/relationships" r:id="R9167fec0795e4232"/>
    <x:tablePart xmlns:r="http://schemas.openxmlformats.org/officeDocument/2006/relationships" r:id="Rff405396ceff4d0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10, 2026 | Report-only | Targeted public-source coverage; not universal MSA or statewide coverage</x:v>
      </x:c>
    </x:row>
    <x:row r="4">
      <x:c r="A4" s="199" t="str">
        <x:v>Action queue</x:v>
      </x:c>
      <x:c r="B4" s="201" t="str">
        <x:v>6 leads</x:v>
      </x:c>
      <x:c r="D4" s="199" t="str">
        <x:v>Watch 65–74</x:v>
      </x:c>
      <x:c r="E4" s="201" t="str">
        <x:v>17 leads</x:v>
      </x:c>
    </x:row>
    <x:row r="5">
      <x:c r="A5" s="199" t="str">
        <x:v>Priority 85+</x:v>
      </x:c>
      <x:c r="B5" s="201" t="str">
        <x:v>None</x:v>
      </x:c>
      <x:c r="D5" s="199" t="str">
        <x:v>Excluded</x:v>
      </x:c>
      <x:c r="E5" s="201" t="str">
        <x:v>11 items/categories</x:v>
      </x:c>
    </x:row>
    <x:row r="6">
      <x:c r="A6" s="199" t="str">
        <x:v>Qualified 75–84</x:v>
      </x:c>
      <x:c r="B6" s="201" t="str">
        <x:v>6</x:v>
      </x:c>
      <x:c r="D6" s="199" t="str">
        <x:v>$10M Gate</x:v>
      </x:c>
      <x:c r="E6" s="201" t="str">
        <x:v>Required</x:v>
      </x:c>
    </x:row>
    <x:row r="7">
      <x:c r="A7" s="199" t="str">
        <x:v>New qualified leads</x:v>
      </x:c>
      <x:c r="B7" s="201" t="str">
        <x:v>0</x:v>
      </x:c>
      <x:c r="D7" s="199" t="str">
        <x:v>Outreach</x:v>
      </x:c>
      <x:c r="E7" s="201" t="str">
        <x:v>Named-lead approval required</x:v>
      </x:c>
    </x:row>
    <x:row r="9" ht="40" customHeight="1">
      <x:c r="A9" s="210" t="str">
        <x:v>Lead ID</x:v>
      </x:c>
      <x:c r="B9" s="210" t="str">
        <x:v>Status</x:v>
      </x:c>
      <x:c r="C9" s="210" t="str">
        <x:v>Classification</x:v>
      </x:c>
      <x:c r="D9" s="210" t="str">
        <x:v>$10M Gate</x:v>
      </x:c>
      <x:c r="E9" s="210" t="str">
        <x:v>Asset / Address</x:v>
      </x:c>
      <x:c r="F9" s="210" t="str">
        <x:v>MSA</x:v>
      </x:c>
      <x:c r="G9" s="210" t="str">
        <x:v>Units</x:v>
      </x:c>
      <x:c r="H9" s="210" t="str">
        <x:v>Owner / Broker</x:v>
      </x:c>
      <x:c r="I9" s="210" t="str">
        <x:v>Observed facts</x:v>
      </x:c>
      <x:c r="J9" s="210" t="str">
        <x:v>Inference</x:v>
      </x:c>
      <x:c r="K9" s="210" t="str">
        <x:v>Counterargument</x:v>
      </x:c>
      <x:c r="L9" s="210" t="str">
        <x:v>Sale process 35</x:v>
      </x:c>
      <x:c r="M9" s="210" t="str">
        <x:v>Capital event 20</x:v>
      </x:c>
      <x:c r="N9" s="210" t="str">
        <x:v>Fit 15</x:v>
      </x:c>
      <x:c r="O9" s="210" t="str">
        <x:v>Execution 10</x:v>
      </x:c>
      <x:c r="P9" s="210" t="str">
        <x:v>Evidence 15</x:v>
      </x:c>
      <x:c r="Q9" s="210" t="str">
        <x:v>Contacts 5</x:v>
      </x:c>
      <x:c r="R9" s="210" t="str">
        <x:v>Score</x:v>
      </x:c>
      <x:c r="S9" s="210" t="str">
        <x:v>Sources / dates</x:v>
      </x:c>
      <x:c r="T9" s="210" t="str">
        <x:v>Verified public contact</x:v>
      </x:c>
      <x:c r="U9" s="210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offering shows Active: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rechecked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remains available: 2025-built, 36-unit conventional apartment asset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rechecked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remains available;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rechecked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remains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rechecked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available at $12M;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rechecked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rechecked Oct.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03" t="str">
        <x:v>Watch — 65–74: evidence or product gates still open</x:v>
      </x:c>
    </x:row>
    <x:row r="18" ht="40" customHeight="1">
      <x:c r="A18" s="210" t="str">
        <x:v>Lead ID</x:v>
      </x:c>
      <x:c r="B18" s="210" t="str">
        <x:v>Classification</x:v>
      </x:c>
      <x:c r="C18" s="210" t="str">
        <x:v>Asset / MSA</x:v>
      </x:c>
      <x:c r="D18" s="210" t="str">
        <x:v>Score</x:v>
      </x:c>
      <x:c r="E18" s="210" t="str">
        <x:v>Reason held</x:v>
      </x:c>
      <x:c r="F18" s="210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05" t="str">
        <x:v>Excluded and coverage gaps</x:v>
      </x:c>
    </x:row>
    <x:row r="38" ht="40" customHeight="1">
      <x:c r="A38" s="210" t="str">
        <x:v>Item</x:v>
      </x:c>
      <x:c r="B38" s="210" t="str">
        <x:v>Classification</x:v>
      </x:c>
      <x:c r="C38" s="210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5cc6b03264d94531"/>
    <x:tablePart xmlns:r="http://schemas.openxmlformats.org/officeDocument/2006/relationships" r:id="R4b789848118e4667"/>
    <x:tablePart xmlns:r="http://schemas.openxmlformats.org/officeDocument/2006/relationships" r:id="R9ff88dabfea6464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11, 2026 | Report-only | Targeted public-source coverage; not universal MSA or statewide coverage</x:v>
      </x:c>
    </x:row>
    <x:row r="4">
      <x:c r="A4" s="212" t="str">
        <x:v>Action queue</x:v>
      </x:c>
      <x:c r="B4" s="214" t="str">
        <x:v>6 leads</x:v>
      </x:c>
      <x:c r="D4" s="212" t="str">
        <x:v>Watch 65–74</x:v>
      </x:c>
      <x:c r="E4" s="214" t="str">
        <x:v>17 leads</x:v>
      </x:c>
    </x:row>
    <x:row r="5">
      <x:c r="A5" s="212" t="str">
        <x:v>Priority 85+</x:v>
      </x:c>
      <x:c r="B5" s="214" t="str">
        <x:v>None</x:v>
      </x:c>
      <x:c r="D5" s="212" t="str">
        <x:v>Excluded</x:v>
      </x:c>
      <x:c r="E5" s="214" t="str">
        <x:v>11 items/categories</x:v>
      </x:c>
    </x:row>
    <x:row r="6">
      <x:c r="A6" s="212" t="str">
        <x:v>Qualified 75–84</x:v>
      </x:c>
      <x:c r="B6" s="214" t="str">
        <x:v>6</x:v>
      </x:c>
      <x:c r="D6" s="212" t="str">
        <x:v>$10M Gate</x:v>
      </x:c>
      <x:c r="E6" s="214" t="str">
        <x:v>Required</x:v>
      </x:c>
    </x:row>
    <x:row r="7">
      <x:c r="A7" s="212" t="str">
        <x:v>New qualified leads</x:v>
      </x:c>
      <x:c r="B7" s="214" t="str">
        <x:v>0</x:v>
      </x:c>
      <x:c r="D7" s="212" t="str">
        <x:v>Outreach</x:v>
      </x:c>
      <x:c r="E7" s="214" t="str">
        <x:v>Named-lead approval required</x:v>
      </x:c>
    </x:row>
    <x:row r="9" ht="40" customHeight="1">
      <x:c r="A9" s="223" t="str">
        <x:v>Lead ID</x:v>
      </x:c>
      <x:c r="B9" s="223" t="str">
        <x:v>Status</x:v>
      </x:c>
      <x:c r="C9" s="223" t="str">
        <x:v>Classification</x:v>
      </x:c>
      <x:c r="D9" s="223" t="str">
        <x:v>$10M Gate</x:v>
      </x:c>
      <x:c r="E9" s="223" t="str">
        <x:v>Asset / Address</x:v>
      </x:c>
      <x:c r="F9" s="223" t="str">
        <x:v>MSA</x:v>
      </x:c>
      <x:c r="G9" s="223" t="str">
        <x:v>Units</x:v>
      </x:c>
      <x:c r="H9" s="223" t="str">
        <x:v>Owner / Broker</x:v>
      </x:c>
      <x:c r="I9" s="223" t="str">
        <x:v>Observed facts</x:v>
      </x:c>
      <x:c r="J9" s="223" t="str">
        <x:v>Inference</x:v>
      </x:c>
      <x:c r="K9" s="223" t="str">
        <x:v>Counterargument</x:v>
      </x:c>
      <x:c r="L9" s="223" t="str">
        <x:v>Sale process 35</x:v>
      </x:c>
      <x:c r="M9" s="223" t="str">
        <x:v>Capital event 20</x:v>
      </x:c>
      <x:c r="N9" s="223" t="str">
        <x:v>Fit 15</x:v>
      </x:c>
      <x:c r="O9" s="223" t="str">
        <x:v>Execution 10</x:v>
      </x:c>
      <x:c r="P9" s="223" t="str">
        <x:v>Evidence 15</x:v>
      </x:c>
      <x:c r="Q9" s="223" t="str">
        <x:v>Contacts 5</x:v>
      </x:c>
      <x:c r="R9" s="223" t="str">
        <x:v>Score</x:v>
      </x:c>
      <x:c r="S9" s="223" t="str">
        <x:v>Sources / dates</x:v>
      </x:c>
      <x:c r="T9" s="223" t="str">
        <x:v>Verified public contact</x:v>
      </x:c>
      <x:c r="U9" s="223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Last Tier 1 direct observation Oct. 10: Active, $40.2M, 309 apartments, 8,130 SF ground-floor commercial space,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Last Tier 1 direct observation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Last Tier 1 direct observation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Last Tier 1 direct observation Oct. 10: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Last Tier 1 direct observation Oct. 10: $12M,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continue to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result Oct. 11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16" t="str">
        <x:v>Watch — 65–74: evidence or product gates still open</x:v>
      </x:c>
    </x:row>
    <x:row r="18" ht="40" customHeight="1">
      <x:c r="A18" s="223" t="str">
        <x:v>Lead ID</x:v>
      </x:c>
      <x:c r="B18" s="223" t="str">
        <x:v>Classification</x:v>
      </x:c>
      <x:c r="C18" s="223" t="str">
        <x:v>Asset / MSA</x:v>
      </x:c>
      <x:c r="D18" s="223" t="str">
        <x:v>Score</x:v>
      </x:c>
      <x:c r="E18" s="223" t="str">
        <x:v>Reason held</x:v>
      </x:c>
      <x:c r="F18" s="223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18" t="str">
        <x:v>Excluded and coverage gaps</x:v>
      </x:c>
    </x:row>
    <x:row r="38" ht="40" customHeight="1">
      <x:c r="A38" s="223" t="str">
        <x:v>Item</x:v>
      </x:c>
      <x:c r="B38" s="223" t="str">
        <x:v>Classification</x:v>
      </x:c>
      <x:c r="C38" s="223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5483f57c5720405c"/>
    <x:tablePart xmlns:r="http://schemas.openxmlformats.org/officeDocument/2006/relationships" r:id="R0593036b31914271"/>
    <x:tablePart xmlns:r="http://schemas.openxmlformats.org/officeDocument/2006/relationships" r:id="R4eed3a78b977401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12, 2026 | Report-only | Targeted public-source coverage; not universal MSA or statewide coverage</x:v>
      </x:c>
    </x:row>
    <x:row r="4">
      <x:c r="A4" s="225" t="str">
        <x:v>Action queue</x:v>
      </x:c>
      <x:c r="B4" s="227" t="str">
        <x:v>6 leads</x:v>
      </x:c>
      <x:c r="D4" s="225" t="str">
        <x:v>Watch 65–74</x:v>
      </x:c>
      <x:c r="E4" s="227" t="str">
        <x:v>17 leads</x:v>
      </x:c>
    </x:row>
    <x:row r="5">
      <x:c r="A5" s="225" t="str">
        <x:v>Priority 85+</x:v>
      </x:c>
      <x:c r="B5" s="227" t="str">
        <x:v>None</x:v>
      </x:c>
      <x:c r="D5" s="225" t="str">
        <x:v>Excluded</x:v>
      </x:c>
      <x:c r="E5" s="227" t="str">
        <x:v>12 items/categories</x:v>
      </x:c>
    </x:row>
    <x:row r="6">
      <x:c r="A6" s="225" t="str">
        <x:v>Qualified 75–84</x:v>
      </x:c>
      <x:c r="B6" s="227" t="str">
        <x:v>6</x:v>
      </x:c>
      <x:c r="D6" s="225" t="str">
        <x:v>$10M Gate</x:v>
      </x:c>
      <x:c r="E6" s="227" t="str">
        <x:v>Required</x:v>
      </x:c>
    </x:row>
    <x:row r="7">
      <x:c r="A7" s="225" t="str">
        <x:v>New qualified leads</x:v>
      </x:c>
      <x:c r="B7" s="227" t="str">
        <x:v>0</x:v>
      </x:c>
      <x:c r="D7" s="225" t="str">
        <x:v>Outreach</x:v>
      </x:c>
      <x:c r="E7" s="227" t="str">
        <x:v>Named-lead approval required</x:v>
      </x:c>
    </x:row>
    <x:row r="9" ht="40" customHeight="1">
      <x:c r="A9" s="236" t="str">
        <x:v>Lead ID</x:v>
      </x:c>
      <x:c r="B9" s="236" t="str">
        <x:v>Status</x:v>
      </x:c>
      <x:c r="C9" s="236" t="str">
        <x:v>Classification</x:v>
      </x:c>
      <x:c r="D9" s="236" t="str">
        <x:v>$10M Gate</x:v>
      </x:c>
      <x:c r="E9" s="236" t="str">
        <x:v>Asset / Address</x:v>
      </x:c>
      <x:c r="F9" s="236" t="str">
        <x:v>MSA</x:v>
      </x:c>
      <x:c r="G9" s="236" t="str">
        <x:v>Units</x:v>
      </x:c>
      <x:c r="H9" s="236" t="str">
        <x:v>Owner / Broker</x:v>
      </x:c>
      <x:c r="I9" s="236" t="str">
        <x:v>Observed facts</x:v>
      </x:c>
      <x:c r="J9" s="236" t="str">
        <x:v>Inference</x:v>
      </x:c>
      <x:c r="K9" s="236" t="str">
        <x:v>Counterargument</x:v>
      </x:c>
      <x:c r="L9" s="236" t="str">
        <x:v>Sale process 35</x:v>
      </x:c>
      <x:c r="M9" s="236" t="str">
        <x:v>Capital event 20</x:v>
      </x:c>
      <x:c r="N9" s="236" t="str">
        <x:v>Fit 15</x:v>
      </x:c>
      <x:c r="O9" s="236" t="str">
        <x:v>Execution 10</x:v>
      </x:c>
      <x:c r="P9" s="236" t="str">
        <x:v>Evidence 15</x:v>
      </x:c>
      <x:c r="Q9" s="236" t="str">
        <x:v>Contacts 5</x:v>
      </x:c>
      <x:c r="R9" s="236" t="str">
        <x:v>Score</x:v>
      </x:c>
      <x:c r="S9" s="236" t="str">
        <x:v>Sources / dates</x:v>
      </x:c>
      <x:c r="T9" s="236" t="str">
        <x:v>Verified public contact</x:v>
      </x:c>
      <x:c r="U9" s="236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observed Oct. 10: Active, $40.2M, 309 apartments, 8,130 SF ground-floor commercial,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observed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observed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observed Oct. 10: $11.2M, 32 units, 6.44%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observed Oct. 10: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 search confirmed Oct. 12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29" t="str">
        <x:v>Watch — 65–74: evidence or product gates still open</x:v>
      </x:c>
    </x:row>
    <x:row r="18" ht="40" customHeight="1">
      <x:c r="A18" s="236" t="str">
        <x:v>Lead ID</x:v>
      </x:c>
      <x:c r="B18" s="236" t="str">
        <x:v>Classification</x:v>
      </x:c>
      <x:c r="C18" s="236" t="str">
        <x:v>Asset / MSA</x:v>
      </x:c>
      <x:c r="D18" s="236" t="str">
        <x:v>Score</x:v>
      </x:c>
      <x:c r="E18" s="236" t="str">
        <x:v>Reason held</x:v>
      </x:c>
      <x:c r="F18" s="236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31" t="str">
        <x:v>Excluded and coverage gaps</x:v>
      </x:c>
    </x:row>
    <x:row r="38" ht="40" customHeight="1">
      <x:c r="A38" s="236" t="str">
        <x:v>Item</x:v>
      </x:c>
      <x:c r="B38" s="236" t="str">
        <x:v>Classification</x:v>
      </x:c>
      <x:c r="C38" s="236" t="str">
        <x:v>Exclusion reason</x:v>
      </x:c>
    </x:row>
    <x:row r="39" ht="38" customHeight="1">
      <x:c r="A39" s="100" t="str">
        <x:v>New LA search hits</x:v>
      </x:c>
      <x:c r="B39" s="100" t="str">
        <x:v>Excluded</x:v>
      </x:c>
      <x:c r="C39" s="100" t="str">
        <x:v>3217 S Central is explicitly TOC affordable; 743–749 Gramercy is uncompleted new construction. Neither clears the primary queue.</x:v>
      </x:c>
    </x:row>
    <x:row r="40" ht="38" customHeight="1">
      <x:c r="A40" s="100" t="str">
        <x:v>New Chicago search hits</x:v>
      </x:c>
      <x:c r="B40" s="100" t="str">
        <x:v>Excluded</x:v>
      </x:c>
      <x:c r="C40" s="100" t="str">
        <x:v>Greater Chatham Portfolio’s public excerpt identifies availability but no current ask, debt, or regulatory clearance; no promotion.</x:v>
      </x:c>
    </x:row>
    <x:row r="41" ht="38" customHeight="1">
      <x:c r="A41" s="100" t="str">
        <x:v>Reside on Jackson, Chicago</x:v>
      </x:c>
      <x:c r="B41" s="100" t="str">
        <x:v>Excluded</x:v>
      </x:c>
      <x:c r="C41" s="100" t="str">
        <x:v>$24.7M five-year Fannie refinance is closed; no public sale process or unresolved financing catalyst.</x:v>
      </x:c>
    </x:row>
    <x:row r="42" ht="38" customHeight="1">
      <x:c r="A42" s="100" t="str">
        <x:v>Verso Luxury, Davenport / Orlando MSA</x:v>
      </x:c>
      <x:c r="B42" s="100" t="str">
        <x:v>Excluded</x:v>
      </x:c>
      <x:c r="C42" s="100" t="str">
        <x:v>$57M acquisition and $40.5M loan are closed; no current sale process or capital need verified.</x:v>
      </x:c>
    </x:row>
    <x:row r="43" ht="38" customHeight="1">
      <x:c r="A43" s="100" t="str">
        <x:v>The Marling at Town Creek, Leland / Wilmington MSA</x:v>
      </x:c>
      <x:c r="B43" s="100" t="str">
        <x:v>Excluded</x:v>
      </x:c>
      <x:c r="C43" s="100" t="str">
        <x:v>$57.7M acquisition closed; no current sale process verified.</x:v>
      </x:c>
    </x:row>
    <x:row r="44" ht="38" customHeight="1">
      <x:c r="A44" s="100" t="str">
        <x:v>Blue Station, Blue Island / Chicago MSA</x:v>
      </x:c>
      <x:c r="B44" s="100" t="str">
        <x:v>Excluded</x:v>
      </x:c>
      <x:c r="C44" s="100" t="str">
        <x:v>$22M sale closed.</x:v>
      </x:c>
    </x:row>
    <x:row r="45" ht="38" customHeight="1">
      <x:c r="A45" s="100" t="str">
        <x:v>Belle on Bev, Los Angeles</x:v>
      </x:c>
      <x:c r="B45" s="100" t="str">
        <x:v>Excluded</x:v>
      </x:c>
      <x:c r="C45" s="100" t="str">
        <x:v>Completed recapitalization; materially mixed retail, entertainment, and bar uses.</x:v>
      </x:c>
    </x:row>
    <x:row r="46" ht="38" customHeight="1">
      <x:c r="A46" s="100" t="str">
        <x:v>836–838 N. Broad, Philadelphia</x:v>
      </x:c>
      <x:c r="B46" s="100" t="str">
        <x:v>Excluded</x:v>
      </x:c>
      <x:c r="C46" s="100" t="str">
        <x:v>PHA-supported income and commercial component require regulatory and residential-income treatment confirmation.</x:v>
      </x:c>
    </x:row>
    <x:row r="47" ht="38" customHeight="1">
      <x:c r="A47" s="100" t="str">
        <x:v>Avondale Apartments, Philadelphia</x:v>
      </x:c>
      <x:c r="B47" s="100" t="str">
        <x:v>Excluded</x:v>
      </x:c>
      <x:c r="C47" s="100" t="str">
        <x:v>Income-restricted; outside primary queue.</x:v>
      </x:c>
    </x:row>
    <x:row r="48" ht="38" customHeight="1">
      <x:c r="A48" s="100" t="str">
        <x:v>727 Collins Ave., Miami Beach</x:v>
      </x:c>
      <x:c r="B48" s="100" t="str">
        <x:v>Excluded</x:v>
      </x:c>
      <x:c r="C48" s="100" t="str">
        <x:v>Hospitality master lease plus retail footprint makes it materially mixed.</x:v>
      </x:c>
    </x:row>
    <x:row r="49" ht="38" customHeight="1">
      <x:c r="A49" s="100" t="str">
        <x:v>430 &amp; 499 E. 8th St., Brooklyn</x:v>
      </x:c>
      <x:c r="B49" s="100" t="str">
        <x:v>Excluded</x:v>
      </x:c>
      <x:c r="C49" s="100" t="str">
        <x:v>Current $15M refinance is expressly rent-stabilized.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a760ae71295542cb"/>
    <x:tablePart xmlns:r="http://schemas.openxmlformats.org/officeDocument/2006/relationships" r:id="Re1e73702cf304127"/>
    <x:tablePart xmlns:r="http://schemas.openxmlformats.org/officeDocument/2006/relationships" r:id="Re2ce39a8cadb44f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13, 2026 | Report-only | Targeted public-source coverage; not universal MSA or statewide coverage</x:v>
      </x:c>
    </x:row>
    <x:row r="4">
      <x:c r="A4" s="238" t="str">
        <x:v>Action queue</x:v>
      </x:c>
      <x:c r="B4" s="240" t="str">
        <x:v>6 leads</x:v>
      </x:c>
      <x:c r="D4" s="238" t="str">
        <x:v>Watch 65–74</x:v>
      </x:c>
      <x:c r="E4" s="240" t="str">
        <x:v>18 leads</x:v>
      </x:c>
    </x:row>
    <x:row r="5">
      <x:c r="A5" s="238" t="str">
        <x:v>Priority 85+</x:v>
      </x:c>
      <x:c r="B5" s="240" t="str">
        <x:v>None</x:v>
      </x:c>
      <x:c r="D5" s="238" t="str">
        <x:v>Excluded</x:v>
      </x:c>
      <x:c r="E5" s="240" t="str">
        <x:v>13 items/categories</x:v>
      </x:c>
    </x:row>
    <x:row r="6">
      <x:c r="A6" s="238" t="str">
        <x:v>Qualified 75–84</x:v>
      </x:c>
      <x:c r="B6" s="240" t="str">
        <x:v>6</x:v>
      </x:c>
      <x:c r="D6" s="238" t="str">
        <x:v>$10M Gate</x:v>
      </x:c>
      <x:c r="E6" s="240" t="str">
        <x:v>Required</x:v>
      </x:c>
    </x:row>
    <x:row r="7">
      <x:c r="A7" s="238" t="str">
        <x:v>New qualified leads</x:v>
      </x:c>
      <x:c r="B7" s="240" t="str">
        <x:v>0</x:v>
      </x:c>
      <x:c r="D7" s="238" t="str">
        <x:v>Outreach</x:v>
      </x:c>
      <x:c r="E7" s="240" t="str">
        <x:v>Named-lead approval required</x:v>
      </x:c>
    </x:row>
    <x:row r="9" ht="40" customHeight="1">
      <x:c r="A9" s="249" t="str">
        <x:v>Lead ID</x:v>
      </x:c>
      <x:c r="B9" s="249" t="str">
        <x:v>Status</x:v>
      </x:c>
      <x:c r="C9" s="249" t="str">
        <x:v>Classification</x:v>
      </x:c>
      <x:c r="D9" s="249" t="str">
        <x:v>$10M Gate</x:v>
      </x:c>
      <x:c r="E9" s="249" t="str">
        <x:v>Asset / Address</x:v>
      </x:c>
      <x:c r="F9" s="249" t="str">
        <x:v>MSA</x:v>
      </x:c>
      <x:c r="G9" s="249" t="str">
        <x:v>Units</x:v>
      </x:c>
      <x:c r="H9" s="249" t="str">
        <x:v>Owner / Broker</x:v>
      </x:c>
      <x:c r="I9" s="249" t="str">
        <x:v>Observed facts</x:v>
      </x:c>
      <x:c r="J9" s="249" t="str">
        <x:v>Inference</x:v>
      </x:c>
      <x:c r="K9" s="249" t="str">
        <x:v>Counterargument</x:v>
      </x:c>
      <x:c r="L9" s="249" t="str">
        <x:v>Sale process 35</x:v>
      </x:c>
      <x:c r="M9" s="249" t="str">
        <x:v>Capital event 20</x:v>
      </x:c>
      <x:c r="N9" s="249" t="str">
        <x:v>Fit 15</x:v>
      </x:c>
      <x:c r="O9" s="249" t="str">
        <x:v>Execution 10</x:v>
      </x:c>
      <x:c r="P9" s="249" t="str">
        <x:v>Evidence 15</x:v>
      </x:c>
      <x:c r="Q9" s="249" t="str">
        <x:v>Contacts 5</x:v>
      </x:c>
      <x:c r="R9" s="249" t="str">
        <x:v>Score</x:v>
      </x:c>
      <x:c r="S9" s="249" t="str">
        <x:v>Sources / dates</x:v>
      </x:c>
      <x:c r="T9" s="249" t="str">
        <x:v>Verified public contact</x:v>
      </x:c>
      <x:c r="U9" s="249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is Active: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observation Oct. 13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remains available: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page observation Oct. 13 | https://www.loopnet.com/Listing/1915-Park-Avenue-Los-Angeles-CA/41776924/</x:v>
      </x:c>
      <x:c r="T11" s="100" t="str">
        <x:v>Neema Ahadian (310) 909-5444; Jeffrey Estrada (310) 909-5423; Patricia Escobar, Marcus &amp; Millichap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remains available: $15.95M ask, 18 apartments, Aug. 3 market date; $7.65M assumable Chase loan is disclosed.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page observation Oct. 13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remains available: $11.2M, 32 apartments, 6.44% cap rate, Aug. 17 market date; listing says AB 1482 only.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page observation Oct. 13 | https://www.loopnet.com/Listing/2912-2924-W-141st-Plz-Gardena-CA/41773238/</x:v>
      </x:c>
      <x:c r="T13" s="100" t="str">
        <x:v>Allen Gholian, Shield Commercial, (310) 593-9868; Jonathan Nikfarjam, Shield Commercial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remains available: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page observation Oct. 13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42" t="str">
        <x:v>Watch — 65–74: evidence or product gates still open</x:v>
      </x:c>
    </x:row>
    <x:row r="18" ht="40" customHeight="1">
      <x:c r="A18" s="249" t="str">
        <x:v>Lead ID</x:v>
      </x:c>
      <x:c r="B18" s="249" t="str">
        <x:v>Classification</x:v>
      </x:c>
      <x:c r="C18" s="249" t="str">
        <x:v>Asset / MSA</x:v>
      </x:c>
      <x:c r="D18" s="249" t="str">
        <x:v>Score</x:v>
      </x:c>
      <x:c r="E18" s="249" t="str">
        <x:v>Reason held</x:v>
      </x:c>
      <x:c r="F18" s="249" t="str">
        <x:v>Precise next verification step</x:v>
      </x:c>
    </x:row>
    <x:row r="19" ht="48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Tier 1-style public listing shows a current $10M, 20-unit multifamily sale, but one property carries a 421-a exemption through 2061; the affordability/restriction structure is not clear.</x:v>
      </x:c>
      <x:c r="F19" s="100" t="str">
        <x:v>Obtain OM, 421-a regulatory agreement, unit/rent schedule, restriction expiration, listing mandate, and seller authority before promotion.</x:v>
      </x:c>
    </x:row>
    <x:row r="20" ht="48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closed Sep. 28; no public sale process or documented unmet capital need.</x:v>
      </x:c>
      <x:c r="F20" s="100" t="str">
        <x:v>Confirm bridge term, extension/maturity, business-plan milestones, capital need, authority, and JSB/Torchlight dialogue.</x:v>
      </x:c>
    </x:row>
    <x:row r="21" ht="48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rent-control, income-restriction, and affordability status.</x:v>
      </x:c>
    </x:row>
    <x:row r="22" ht="48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Current primary foreclosure/receiver evidence is absent.</x:v>
      </x:c>
      <x:c r="F22" s="100" t="str">
        <x:v>Obtain Cook County docket, receiver order, complaint, payoff, and current marketing status.</x:v>
      </x:c>
    </x:row>
    <x:row r="23" ht="48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Historical CDFI/project evidence requires covenant and title clearance.</x:v>
      </x:c>
      <x:c r="F23" s="100" t="str">
        <x:v>Check recorded affordability covenant, title, HCD records, and deed restrictions.</x:v>
      </x:c>
    </x:row>
    <x:row r="24" ht="48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shows contingent, not active sale.</x:v>
      </x:c>
      <x:c r="F24" s="100" t="str">
        <x:v>Monitor close status and verify seller authority, restrictions, rent roll, and financing/lender catalyst.</x:v>
      </x:c>
    </x:row>
    <x:row r="25" ht="48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seller authority.</x:v>
      </x:c>
    </x:row>
    <x:row r="26" ht="48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48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remain unresolved.</x:v>
      </x:c>
      <x:c r="F27" s="100" t="str">
        <x:v>Obtain total ask, rent roll, residential-income split, restrictions, and named broker.</x:v>
      </x:c>
    </x:row>
    <x:row r="28" ht="48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remain inconsistent.</x:v>
      </x:c>
      <x:c r="F28" s="100" t="str">
        <x:v>Obtain OM, lease/rent roll, 40-versus-45-unit reconciliation, and broker mandate.</x:v>
      </x:c>
    </x:row>
    <x:row r="29" ht="48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48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48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 confirmation, rent roll, and restriction check.</x:v>
      </x:c>
    </x:row>
    <x:row r="32" ht="48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Current availability and regulatory status lack corroboration.</x:v>
      </x:c>
      <x:c r="F32" s="100" t="str">
        <x:v>Obtain live broker mandate, RSO/affordability clearance, price, and rent roll.</x:v>
      </x:c>
    </x:row>
    <x:row r="33" ht="48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are unclear.</x:v>
      </x:c>
      <x:c r="F33" s="100" t="str">
        <x:v>Obtain HPD/DHCR records, current OM, address list, price, and broker authority.</x:v>
      </x:c>
    </x:row>
    <x:row r="34" ht="48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Current listing needs RSO determination.</x:v>
      </x:c>
      <x:c r="F34" s="100" t="str">
        <x:v>Verify HCIDLA RSO status, title/covenants, and current broker mandate.</x:v>
      </x:c>
    </x:row>
    <x:row r="35" ht="48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a dated current listing record.</x:v>
      </x:c>
      <x:c r="F35" s="100" t="str">
        <x:v>Obtain dated exclusive/MLS, seller authority, RSO/covenant status, and rent roll.</x:v>
      </x:c>
    </x:row>
    <x:row r="36" ht="48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remain unresolved.</x:v>
      </x:c>
      <x:c r="F36" s="100" t="str">
        <x:v>Obtain current mandate, CO, RSO determination, title/covenants, and rent roll.</x:v>
      </x:c>
    </x:row>
    <x:row r="38">
      <x:c r="A38" s="244" t="str">
        <x:v>Excluded and coverage gaps</x:v>
      </x:c>
    </x:row>
    <x:row r="39" ht="40" customHeight="1">
      <x:c r="A39" s="249" t="str">
        <x:v>Item</x:v>
      </x:c>
      <x:c r="B39" s="249" t="str">
        <x:v>Classification</x:v>
      </x:c>
      <x:c r="C39" s="249" t="str">
        <x:v>Exclusion reason</x:v>
      </x:c>
    </x:row>
    <x:row r="40" ht="42" customHeight="1">
      <x:c r="A40" s="100" t="str">
        <x:v>New Miami search hits</x:v>
      </x:c>
      <x:c r="B40" s="100" t="str">
        <x:v>Excluded</x:v>
      </x:c>
      <x:c r="C40" s="100" t="str">
        <x:v>690 3rd St. is expressly a covered land/redevelopment play; 45 NW 22nd Ave. is retail with restaurant/car-wash components. Neither is conventional rental multifamily.</x:v>
      </x:c>
    </x:row>
    <x:row r="41" ht="42" customHeight="1">
      <x:c r="A41" s="100" t="str">
        <x:v>New NYC search hit</x:v>
      </x:c>
      <x:c r="B41" s="100" t="str">
        <x:v>Watch</x:v>
      </x:c>
      <x:c r="C41" s="100" t="str">
        <x:v>99 Dumont &amp; 499 Pennsylvania is held above, not promoted, pending 421-a restriction clarity.</x:v>
      </x:c>
    </x:row>
    <x:row r="42" ht="42" customHeight="1">
      <x:c r="A42" s="100" t="str">
        <x:v>New LA search hits</x:v>
      </x:c>
      <x:c r="B42" s="100" t="str">
        <x:v>Excluded</x:v>
      </x:c>
      <x:c r="C42" s="100" t="str">
        <x:v>3217 S Central is explicitly TOC affordable; 743–749 Gramercy is uncompleted new construction. Neither clears the primary queue.</x:v>
      </x:c>
    </x:row>
    <x:row r="43" ht="42" customHeight="1">
      <x:c r="A43" s="100" t="str">
        <x:v>New Chicago search hits</x:v>
      </x:c>
      <x:c r="B43" s="100" t="str">
        <x:v>Excluded</x:v>
      </x:c>
      <x:c r="C43" s="100" t="str">
        <x:v>Greater Chatham Portfolio’s public excerpt identifies availability but no current ask, debt, or regulatory clearance; no promotion.</x:v>
      </x:c>
    </x:row>
    <x:row r="44" ht="42" customHeight="1">
      <x:c r="A44" s="100" t="str">
        <x:v>Reside on Jackson, Chicago</x:v>
      </x:c>
      <x:c r="B44" s="100" t="str">
        <x:v>Excluded</x:v>
      </x:c>
      <x:c r="C44" s="100" t="str">
        <x:v>$24.7M five-year Fannie refinance is closed; no public sale process or unresolved financing catalyst.</x:v>
      </x:c>
    </x:row>
    <x:row r="45" ht="42" customHeight="1">
      <x:c r="A45" s="100" t="str">
        <x:v>Verso Luxury, Davenport / Orlando MSA</x:v>
      </x:c>
      <x:c r="B45" s="100" t="str">
        <x:v>Excluded</x:v>
      </x:c>
      <x:c r="C45" s="100" t="str">
        <x:v>$57M acquisition and $40.5M loan are closed; no current sale process or capital need verified.</x:v>
      </x:c>
    </x:row>
    <x:row r="46" ht="42" customHeight="1">
      <x:c r="A46" s="100" t="str">
        <x:v>The Marling at Town Creek, Leland / Wilmington MSA</x:v>
      </x:c>
      <x:c r="B46" s="100" t="str">
        <x:v>Excluded</x:v>
      </x:c>
      <x:c r="C46" s="100" t="str">
        <x:v>$57.7M acquisition closed; no current sale process verified.</x:v>
      </x:c>
    </x:row>
    <x:row r="47" ht="42" customHeight="1">
      <x:c r="A47" s="100" t="str">
        <x:v>Blue Station, Blue Island / Chicago MSA</x:v>
      </x:c>
      <x:c r="B47" s="100" t="str">
        <x:v>Excluded</x:v>
      </x:c>
      <x:c r="C47" s="100" t="str">
        <x:v>$22M sale closed.</x:v>
      </x:c>
    </x:row>
    <x:row r="48" ht="42" customHeight="1">
      <x:c r="A48" s="100" t="str">
        <x:v>Belle on Bev, Los Angeles</x:v>
      </x:c>
      <x:c r="B48" s="100" t="str">
        <x:v>Excluded</x:v>
      </x:c>
      <x:c r="C48" s="100" t="str">
        <x:v>Completed recapitalization; materially mixed retail, entertainment, and bar uses.</x:v>
      </x:c>
    </x:row>
    <x:row r="49" ht="42" customHeight="1">
      <x:c r="A49" s="100" t="str">
        <x:v>836–838 N. Broad, Philadelphia</x:v>
      </x:c>
      <x:c r="B49" s="100" t="str">
        <x:v>Excluded</x:v>
      </x:c>
      <x:c r="C49" s="100" t="str">
        <x:v>PHA-supported income and commercial component require regulatory and residential-income treatment confirmation.</x:v>
      </x:c>
    </x:row>
    <x:row r="50" ht="42" customHeight="1">
      <x:c r="A50" s="100" t="str">
        <x:v>Avondale Apartments, Philadelphia</x:v>
      </x:c>
      <x:c r="B50" s="100" t="str">
        <x:v>Excluded</x:v>
      </x:c>
      <x:c r="C50" s="100" t="str">
        <x:v>Income-restricted; outside primary queue.</x:v>
      </x:c>
    </x:row>
    <x:row r="51" ht="42" customHeight="1">
      <x:c r="A51" s="100" t="str">
        <x:v>727 Collins Ave., Miami Beach</x:v>
      </x:c>
      <x:c r="B51" s="100" t="str">
        <x:v>Excluded</x:v>
      </x:c>
      <x:c r="C51" s="100" t="str">
        <x:v>Hospitality master lease plus retail footprint makes it materially mixed.</x:v>
      </x:c>
    </x:row>
    <x:row r="52" ht="42" customHeight="1">
      <x:c r="A52" s="100" t="str">
        <x:v>430 &amp; 499 E. 8th St., Brooklyn</x:v>
      </x:c>
      <x:c r="B52" s="100" t="str">
        <x:v>Excluded</x:v>
      </x:c>
      <x:c r="C52" s="100" t="str">
        <x:v>Current $15M refinance is expressly rent-stabilized.</x:v>
      </x:c>
    </x:row>
    <x:row r="53" ht="42" customHeight="1">
      <x:c r="A53" s="100" t="str">
        <x:v>Coverage gaps</x:v>
      </x:c>
      <x:c r="B53" s="100" t="str">
        <x:v>Not covered</x:v>
      </x:c>
      <x:c r="C53" s="100" t="str">
        <x:v>Targeted public-source sweep only. Several named Florida and North Carolina MSAs produced no newly verified, eligible $10M+ lead; no statewide or universal inventory coverage is implied.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881ea900a18a4622"/>
    <x:tablePart xmlns:r="http://schemas.openxmlformats.org/officeDocument/2006/relationships" r:id="R3c8edd1c4c5c413a"/>
    <x:tablePart xmlns:r="http://schemas.openxmlformats.org/officeDocument/2006/relationships" r:id="R3c1baf471dcd4f4b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14, 2026 | Report-only | Targeted public-source coverage; not universal MSA or statewide coverage</x:v>
      </x:c>
    </x:row>
    <x:row r="4">
      <x:c r="A4" s="251" t="str">
        <x:v>Action queue</x:v>
      </x:c>
      <x:c r="B4" s="253" t="str">
        <x:v>6 continuing leads</x:v>
      </x:c>
      <x:c r="D4" s="251" t="str">
        <x:v>Watch 65–74</x:v>
      </x:c>
      <x:c r="E4" s="253" t="str">
        <x:v>18 leads</x:v>
      </x:c>
    </x:row>
    <x:row r="5">
      <x:c r="A5" s="251" t="str">
        <x:v>Priority 85+</x:v>
      </x:c>
      <x:c r="B5" s="253" t="str">
        <x:v>None</x:v>
      </x:c>
      <x:c r="D5" s="251" t="str">
        <x:v>Excluded</x:v>
      </x:c>
      <x:c r="E5" s="253" t="str">
        <x:v>Retained + current screens</x:v>
      </x:c>
    </x:row>
    <x:row r="6">
      <x:c r="A6" s="251" t="str">
        <x:v>Qualified 75–84</x:v>
      </x:c>
      <x:c r="B6" s="253" t="str">
        <x:v>6</x:v>
      </x:c>
      <x:c r="D6" s="251" t="str">
        <x:v>$10M Gate</x:v>
      </x:c>
      <x:c r="E6" s="253" t="str">
        <x:v>Required</x:v>
      </x:c>
    </x:row>
    <x:row r="7">
      <x:c r="A7" s="251" t="str">
        <x:v>New qualified leads</x:v>
      </x:c>
      <x:c r="B7" s="253" t="str">
        <x:v>0</x:v>
      </x:c>
      <x:c r="D7" s="251" t="str">
        <x:v>Outreach</x:v>
      </x:c>
      <x:c r="E7" s="253" t="str">
        <x:v>Named-lead approval required</x:v>
      </x:c>
    </x:row>
    <x:row r="9" ht="40" customHeight="1">
      <x:c r="A9" s="262" t="str">
        <x:v>Lead ID</x:v>
      </x:c>
      <x:c r="B9" s="262" t="str">
        <x:v>Status</x:v>
      </x:c>
      <x:c r="C9" s="262" t="str">
        <x:v>Classification</x:v>
      </x:c>
      <x:c r="D9" s="262" t="str">
        <x:v>$10M Gate</x:v>
      </x:c>
      <x:c r="E9" s="262" t="str">
        <x:v>Asset / Address</x:v>
      </x:c>
      <x:c r="F9" s="262" t="str">
        <x:v>MSA</x:v>
      </x:c>
      <x:c r="G9" s="262" t="str">
        <x:v>Units</x:v>
      </x:c>
      <x:c r="H9" s="262" t="str">
        <x:v>Owner / Broker</x:v>
      </x:c>
      <x:c r="I9" s="262" t="str">
        <x:v>Observed facts</x:v>
      </x:c>
      <x:c r="J9" s="262" t="str">
        <x:v>Inference</x:v>
      </x:c>
      <x:c r="K9" s="262" t="str">
        <x:v>Counterargument</x:v>
      </x:c>
      <x:c r="L9" s="262" t="str">
        <x:v>Sale process 35</x:v>
      </x:c>
      <x:c r="M9" s="262" t="str">
        <x:v>Capital event 20</x:v>
      </x:c>
      <x:c r="N9" s="262" t="str">
        <x:v>Fit 15</x:v>
      </x:c>
      <x:c r="O9" s="262" t="str">
        <x:v>Execution 10</x:v>
      </x:c>
      <x:c r="P9" s="262" t="str">
        <x:v>Evidence 15</x:v>
      </x:c>
      <x:c r="Q9" s="262" t="str">
        <x:v>Contacts 5</x:v>
      </x:c>
      <x:c r="R9" s="262" t="str">
        <x:v>Score</x:v>
      </x:c>
      <x:c r="S9" s="262" t="str">
        <x:v>Sources / dates</x:v>
      </x:c>
      <x:c r="T9" s="262" t="str">
        <x:v>Verified public contact</x:v>
      </x:c>
      <x:c r="U9" s="262" t="str">
        <x:v>Light Tower angle</x:v>
      </x:c>
    </x:row>
    <x:row r="10" ht="108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was Active on Oct. 13: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availability last observed Oct. 13; Oct. 14 live fetch approval-gated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8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last observed available Oct. 13: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availability last observed Oct. 13; Oct. 14 live fetch approval-gated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08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last observed available Oct. 13: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availability last observed Oct. 13; Oct. 14 live fetch approval-gated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8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offering last observed available Oct. 13: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availability last observed Oct. 13; Oct. 14 live fetch approval-gated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8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offering last observed available Oct. 13: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availability last observed Oct. 13; Oct. 14 live fetch approval-gated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08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55" t="str">
        <x:v>Watch — 65–74: evidence, process, or product gates still open</x:v>
      </x:c>
    </x:row>
    <x:row r="18" ht="40" customHeight="1">
      <x:c r="A18" s="262" t="str">
        <x:v>Lead ID</x:v>
      </x:c>
      <x:c r="B18" s="262" t="str">
        <x:v>Classification</x:v>
      </x:c>
      <x:c r="C18" s="262" t="str">
        <x:v>Asset / MSA</x:v>
      </x:c>
      <x:c r="D18" s="262" t="str">
        <x:v>Score</x:v>
      </x:c>
      <x:c r="E18" s="262" t="str">
        <x:v>Reason held</x:v>
      </x:c>
      <x:c r="F18" s="262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57" t="str">
        <x:v>Excluded and coverage gaps</x:v>
      </x:c>
    </x:row>
    <x:row r="39" ht="40" customHeight="1">
      <x:c r="A39" s="262" t="str">
        <x:v>Item</x:v>
      </x:c>
      <x:c r="B39" s="262" t="str">
        <x:v>Classification</x:v>
      </x:c>
      <x:c r="C39" s="262" t="str">
        <x:v>Exclusion / coverage finding</x:v>
      </x:c>
    </x:row>
    <x:row r="40" ht="48" customHeight="1">
      <x:c r="A40" s="100" t="str">
        <x:v>Oct. 14 public-source screen</x:v>
      </x:c>
      <x:c r="B40" s="100" t="str">
        <x:v>No promotion</x:v>
      </x:c>
      <x:c r="C40" s="100" t="str">
        <x:v>Fresh targeted searches produced no credible new $10M+ conventional multifamily sale or capital-event lead; generic, closed, mixed-use, and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Returned public hits were generic and insufficient for price/process/product gating.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One Brooklyn public listing remains Watch pending 421-a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3217 S Central is explicitly TOC affordable; 743–749 Gramercy is uncompleted new construction.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Greater Chatham Portfolio lacks a verified current ask/debt and regulatory clearance.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da915f1102374be2"/>
    <x:tablePart xmlns:r="http://schemas.openxmlformats.org/officeDocument/2006/relationships" r:id="R37d50453ddf44ae9"/>
    <x:tablePart xmlns:r="http://schemas.openxmlformats.org/officeDocument/2006/relationships" r:id="R4b95f52cdb11482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15, 2026 | Report-only | Targeted named-MSA public-source coverage; not universal or statewide</x:v>
      </x:c>
    </x:row>
    <x:row r="4">
      <x:c r="A4" s="264" t="str">
        <x:v>Action queue</x:v>
      </x:c>
      <x:c r="B4" s="266" t="str">
        <x:v>6 continuing leads</x:v>
      </x:c>
      <x:c r="D4" s="264" t="str">
        <x:v>Watch 65–74</x:v>
      </x:c>
      <x:c r="E4" s="266" t="str">
        <x:v>18 leads</x:v>
      </x:c>
    </x:row>
    <x:row r="5">
      <x:c r="A5" s="264" t="str">
        <x:v>Priority 85+</x:v>
      </x:c>
      <x:c r="B5" s="266" t="str">
        <x:v>None</x:v>
      </x:c>
      <x:c r="D5" s="264" t="str">
        <x:v>Excluded</x:v>
      </x:c>
      <x:c r="E5" s="266" t="str">
        <x:v>Retained + current screens</x:v>
      </x:c>
    </x:row>
    <x:row r="6">
      <x:c r="A6" s="264" t="str">
        <x:v>Qualified 75–84</x:v>
      </x:c>
      <x:c r="B6" s="266" t="str">
        <x:v>6</x:v>
      </x:c>
      <x:c r="D6" s="264" t="str">
        <x:v>$10M Gate</x:v>
      </x:c>
      <x:c r="E6" s="266" t="str">
        <x:v>Required</x:v>
      </x:c>
    </x:row>
    <x:row r="7">
      <x:c r="A7" s="264" t="str">
        <x:v>New qualified leads</x:v>
      </x:c>
      <x:c r="B7" s="266" t="str">
        <x:v>0</x:v>
      </x:c>
      <x:c r="D7" s="264" t="str">
        <x:v>Outreach</x:v>
      </x:c>
      <x:c r="E7" s="266" t="str">
        <x:v>Named-lead approval required</x:v>
      </x:c>
    </x:row>
    <x:row r="9" ht="40" customHeight="1">
      <x:c r="A9" s="275" t="str">
        <x:v>Lead ID</x:v>
      </x:c>
      <x:c r="B9" s="275" t="str">
        <x:v>Status</x:v>
      </x:c>
      <x:c r="C9" s="275" t="str">
        <x:v>Classification</x:v>
      </x:c>
      <x:c r="D9" s="275" t="str">
        <x:v>$10M Gate</x:v>
      </x:c>
      <x:c r="E9" s="275" t="str">
        <x:v>Asset / Address</x:v>
      </x:c>
      <x:c r="F9" s="275" t="str">
        <x:v>MSA</x:v>
      </x:c>
      <x:c r="G9" s="275" t="str">
        <x:v>Units</x:v>
      </x:c>
      <x:c r="H9" s="275" t="str">
        <x:v>Owner / Broker</x:v>
      </x:c>
      <x:c r="I9" s="275" t="str">
        <x:v>Observed facts</x:v>
      </x:c>
      <x:c r="J9" s="275" t="str">
        <x:v>Inference</x:v>
      </x:c>
      <x:c r="K9" s="275" t="str">
        <x:v>Counterargument</x:v>
      </x:c>
      <x:c r="L9" s="275" t="str">
        <x:v>Sale process 35</x:v>
      </x:c>
      <x:c r="M9" s="275" t="str">
        <x:v>Capital event 20</x:v>
      </x:c>
      <x:c r="N9" s="275" t="str">
        <x:v>Fit 15</x:v>
      </x:c>
      <x:c r="O9" s="275" t="str">
        <x:v>Execution 10</x:v>
      </x:c>
      <x:c r="P9" s="275" t="str">
        <x:v>Evidence 15</x:v>
      </x:c>
      <x:c r="Q9" s="275" t="str">
        <x:v>Contacts 5</x:v>
      </x:c>
      <x:c r="R9" s="275" t="str">
        <x:v>Score</x:v>
      </x:c>
      <x:c r="S9" s="275" t="str">
        <x:v>Sources / dates</x:v>
      </x:c>
      <x:c r="T9" s="275" t="str">
        <x:v>Verified public contact</x:v>
      </x:c>
      <x:c r="U9" s="275" t="str">
        <x:v>Light Tower angle</x:v>
      </x:c>
    </x:row>
    <x:row r="10" ht="11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returns in current public search: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Oct. 15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1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returns in current public search: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search Oct. 15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1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returns in current public search: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search Oct. 15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1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Tier 1 offering returns in current public search: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search Oct. 15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1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offering returns in current public search as currently available: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search Oct. 15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1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marketing; fresh Oct. 15 results continue to identify AJH sale intent, 1,068 units and 2019 $141M value.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Philadelphia Business Journal / Bisnow current public search Oct. 15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68" t="str">
        <x:v>Watch — 65–74: evidence, process, or product gates still open</x:v>
      </x:c>
    </x:row>
    <x:row r="18" ht="40" customHeight="1">
      <x:c r="A18" s="275" t="str">
        <x:v>Lead ID</x:v>
      </x:c>
      <x:c r="B18" s="275" t="str">
        <x:v>Classification</x:v>
      </x:c>
      <x:c r="C18" s="275" t="str">
        <x:v>Asset / MSA</x:v>
      </x:c>
      <x:c r="D18" s="275" t="str">
        <x:v>Score</x:v>
      </x:c>
      <x:c r="E18" s="275" t="str">
        <x:v>Reason held</x:v>
      </x:c>
      <x:c r="F18" s="275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70" t="str">
        <x:v>Excluded and coverage gaps</x:v>
      </x:c>
    </x:row>
    <x:row r="39" ht="40" customHeight="1">
      <x:c r="A39" s="275" t="str">
        <x:v>Item</x:v>
      </x:c>
      <x:c r="B39" s="275" t="str">
        <x:v>Classification</x:v>
      </x:c>
      <x:c r="C39" s="275" t="str">
        <x:v>Exclusion / coverage finding</x:v>
      </x:c>
    </x:row>
    <x:row r="40" ht="48" customHeight="1">
      <x:c r="A40" s="100" t="str">
        <x:v>Oct. 15 public-source screen</x:v>
      </x:c>
      <x:c r="B40" s="100" t="str">
        <x:v>No promotion</x:v>
      </x:c>
      <x:c r="C40" s="100" t="str">
        <x:v>Fresh targeted screens produced no credible new $10M+ conventional multifamily sale or capital-event lead. Generic, closed, mixed-use, development, or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The $238M Landmark South refinance remains Watch because no public capital need or sale process was identified.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Brooklyn 421-a listing remains Watch pending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No new qualified conventional $10M+ candidate. Affordable, under-construction, or incomplete records remain out.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Current results were closed sales, generic inventory, or incomplete records; none cleared mandate, price/debt, product, and recency gates.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4d2977d0035a4df7"/>
    <x:tablePart xmlns:r="http://schemas.openxmlformats.org/officeDocument/2006/relationships" r:id="Rd76f45c70ddb4113"/>
    <x:tablePart xmlns:r="http://schemas.openxmlformats.org/officeDocument/2006/relationships" r:id="R9aeb0bc3d1b74f24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4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16, 2026 | Report-only | Targeted named-MSA public-source coverage; not universal or statewide</x:v>
      </x:c>
    </x:row>
    <x:row r="4">
      <x:c r="A4" s="277" t="str">
        <x:v>Action queue</x:v>
      </x:c>
      <x:c r="B4" s="279" t="str">
        <x:v>6 continuing leads</x:v>
      </x:c>
      <x:c r="D4" s="277" t="str">
        <x:v>Watch 65–74</x:v>
      </x:c>
      <x:c r="E4" s="279" t="str">
        <x:v>18 leads</x:v>
      </x:c>
    </x:row>
    <x:row r="5">
      <x:c r="A5" s="277" t="str">
        <x:v>Priority 85+</x:v>
      </x:c>
      <x:c r="B5" s="279" t="str">
        <x:v>None</x:v>
      </x:c>
      <x:c r="D5" s="277" t="str">
        <x:v>Excluded</x:v>
      </x:c>
      <x:c r="E5" s="279" t="str">
        <x:v>Retained + current screens</x:v>
      </x:c>
    </x:row>
    <x:row r="6">
      <x:c r="A6" s="277" t="str">
        <x:v>Qualified 75–84</x:v>
      </x:c>
      <x:c r="B6" s="279" t="str">
        <x:v>6</x:v>
      </x:c>
      <x:c r="D6" s="277" t="str">
        <x:v>$10M Gate</x:v>
      </x:c>
      <x:c r="E6" s="279" t="str">
        <x:v>Required</x:v>
      </x:c>
    </x:row>
    <x:row r="7">
      <x:c r="A7" s="277" t="str">
        <x:v>New qualified leads</x:v>
      </x:c>
      <x:c r="B7" s="279" t="str">
        <x:v>0</x:v>
      </x:c>
      <x:c r="D7" s="277" t="str">
        <x:v>Outreach</x:v>
      </x:c>
      <x:c r="E7" s="279" t="str">
        <x:v>Named-lead approval required</x:v>
      </x:c>
    </x:row>
    <x:row r="9" ht="40" customHeight="1">
      <x:c r="A9" s="288" t="str">
        <x:v>Lead ID</x:v>
      </x:c>
      <x:c r="B9" s="288" t="str">
        <x:v>Status</x:v>
      </x:c>
      <x:c r="C9" s="288" t="str">
        <x:v>Classification</x:v>
      </x:c>
      <x:c r="D9" s="288" t="str">
        <x:v>$10M Gate</x:v>
      </x:c>
      <x:c r="E9" s="288" t="str">
        <x:v>Asset / Address</x:v>
      </x:c>
      <x:c r="F9" s="288" t="str">
        <x:v>MSA</x:v>
      </x:c>
      <x:c r="G9" s="288" t="str">
        <x:v>Units</x:v>
      </x:c>
      <x:c r="H9" s="288" t="str">
        <x:v>Owner / Broker</x:v>
      </x:c>
      <x:c r="I9" s="288" t="str">
        <x:v>Observed facts</x:v>
      </x:c>
      <x:c r="J9" s="288" t="str">
        <x:v>Inference</x:v>
      </x:c>
      <x:c r="K9" s="288" t="str">
        <x:v>Counterargument</x:v>
      </x:c>
      <x:c r="L9" s="288" t="str">
        <x:v>Sale process 35</x:v>
      </x:c>
      <x:c r="M9" s="288" t="str">
        <x:v>Capital event 20</x:v>
      </x:c>
      <x:c r="N9" s="288" t="str">
        <x:v>Fit 15</x:v>
      </x:c>
      <x:c r="O9" s="288" t="str">
        <x:v>Execution 10</x:v>
      </x:c>
      <x:c r="P9" s="288" t="str">
        <x:v>Evidence 15</x:v>
      </x:c>
      <x:c r="Q9" s="288" t="str">
        <x:v>Contacts 5</x:v>
      </x:c>
      <x:c r="R9" s="288" t="str">
        <x:v>Score</x:v>
      </x:c>
      <x:c r="S9" s="288" t="str">
        <x:v>Sources / dates</x:v>
      </x:c>
      <x:c r="T9" s="288" t="str">
        <x:v>Verified public contact</x:v>
      </x:c>
      <x:c r="U9" s="288" t="str">
        <x:v>Light Tower angle</x:v>
      </x:c>
    </x:row>
    <x:row r="10" ht="12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returned in Oct. 16 targeted public search: 291-unit Apartments at 1220 component reported 95% occupied with approximately $1,119 in-place monthly rent; prior direct offering states $40.2M / 309 apartments /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Oct. 16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2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LoopNet offering returned in Oct. 16 public search. Search result identifies the Park.1915 OM and 2025 financial-summary attachments; prior direct observation records $18.0M ask, 36 units, and Aug. 17 market date.</x:v>
      </x:c>
      <x:c r="J11" s="100" t="str">
        <x:v>Near-term sale-advisory and acquisition-financing opportunity.</x:v>
      </x:c>
      <x:c r="K11" s="100" t="str">
        <x:v>Live-page fetch requires action-time approval; confirm restrictions, CO, seller authority, rent roll, and 2025 results before engagement.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search Oct. 16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2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Prior Tier 1 offering: $15.95M ask, 18 apartments, Aug. 3 market date, $7.65M assumable Chase loan. Oct. 16 direct-page fetch was approval-gated; no contrary status evidence found in today’s targeted screen.</x:v>
      </x:c>
      <x:c r="J12" s="100" t="str">
        <x:v>Sale process and loan-assumption feature support financing or recap analysis.</x:v>
      </x:c>
      <x:c r="K12" s="100" t="str">
        <x:v>Do not treat prior availability as a fresh live-page verification; confirm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14</x:v>
      </x:c>
      <x:c r="Q12" s="103" t="n">
        <x:v>5</x:v>
      </x:c>
      <x:c r="R12" s="103" t="n">
        <x:f>SUM(L12:Q12)</x:f>
        <x:v>78</x:v>
      </x:c>
      <x:c r="S12" s="100" t="str">
        <x:v>LoopNet Tier 1 | listed Aug. 3; last direct availability observed Oct. 13; fetch approval-gated Oct. 16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2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Prior Tier 1 offering: $11.2M ask, 32 apartments, 6.44% cap rate, Aug. 17 market date, AB 1482-only disclosure. Oct. 16 direct-page fetch was approval-gated; no contrary status evidence found in today’s targeted screen.</x:v>
      </x:c>
      <x:c r="J13" s="100" t="str">
        <x:v>Dated marketing supports buyer financing, bridge, or recapitalization analysis.</x:v>
      </x:c>
      <x:c r="K13" s="100" t="str">
        <x:v>Confirm current exclusive, authority, AB 1482 scope, title, rent roll, and renovations before engagement.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14</x:v>
      </x:c>
      <x:c r="Q13" s="103" t="n">
        <x:v>5</x:v>
      </x:c>
      <x:c r="R13" s="103" t="n">
        <x:f>SUM(L13:Q13)</x:f>
        <x:v>78</x:v>
      </x:c>
      <x:c r="S13" s="100" t="str">
        <x:v>LoopNet Tier 1 | listed Aug. 17; last direct availability observed Oct. 13; fetch approval-gated Oct. 16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2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LoopNet offering returned in Oct. 16 public search; prior direct offering records $12M, 172 apartments, 98% occupancy, and Jul. 22 market date. Current public rental records corroborate operating apartment use.</x:v>
      </x:c>
      <x:c r="J14" s="100" t="str">
        <x:v>Buyer financing, bridge, or recapitalization potential.</x:v>
      </x:c>
      <x:c r="K14" s="100" t="str">
        <x:v>Search excerpt does not prove same-day sale availability; confirm no subsidy/university master lease,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listed Jul. 22; current search Oct. 16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2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plus Oct. 16 public search identify AJH’s sale intent, Newmark’s marketing role, 1,068 units, and the verified $141M 2019 portfolio value.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plan; current asking price is not public.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/ Philadelphia Business Journal Tier 2 | Aug. 30–31; current search Oct. 16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81" t="str">
        <x:v>Watch — 65–74: evidence, process, or product gates still open</x:v>
      </x:c>
    </x:row>
    <x:row r="18" ht="40" customHeight="1">
      <x:c r="A18" s="288" t="str">
        <x:v>Lead ID</x:v>
      </x:c>
      <x:c r="B18" s="288" t="str">
        <x:v>Classification</x:v>
      </x:c>
      <x:c r="C18" s="288" t="str">
        <x:v>Asset / MSA</x:v>
      </x:c>
      <x:c r="D18" s="288" t="str">
        <x:v>Score</x:v>
      </x:c>
      <x:c r="E18" s="288" t="str">
        <x:v>Reason held</x:v>
      </x:c>
      <x:c r="F18" s="288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83" t="str">
        <x:v>Excluded and coverage gaps</x:v>
      </x:c>
    </x:row>
    <x:row r="39" ht="40" customHeight="1">
      <x:c r="A39" s="288" t="str">
        <x:v>Item</x:v>
      </x:c>
      <x:c r="B39" s="288" t="str">
        <x:v>Classification</x:v>
      </x:c>
      <x:c r="C39" s="288" t="str">
        <x:v>Exclusion / coverage finding</x:v>
      </x:c>
    </x:row>
    <x:row r="40" ht="48" customHeight="1">
      <x:c r="A40" s="100" t="str">
        <x:v>Oct. 16 public-source screen</x:v>
      </x:c>
      <x:c r="B40" s="100" t="str">
        <x:v>No promotion</x:v>
      </x:c>
      <x:c r="C40" s="100" t="str">
        <x:v>Fresh targeted screens produced no credible new $10M+ conventional multifamily sale or capital-event lead. Generic, closed, mixed-use, development, hospitality, or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Search results included hotel/hospitality transactions, which are excluded.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Brooklyn 421-a listing remains Watch pending restriction evidence.</x:v>
      </x:c>
    </x:row>
    <x:row r="43" ht="48" customHeight="1">
      <x:c r="A43" s="100" t="str">
        <x:v>Los Angeles screen</x:v>
      </x:c>
      <x:c r="B43" s="100" t="str">
        <x:v>No promotion</x:v>
      </x:c>
      <x:c r="C43" s="100" t="str">
        <x:v>Park.1915 returned in Tier 1 search. No new qualified conventional $10M+ candidate cleared all gates.</x:v>
      </x:c>
    </x:row>
    <x:row r="44" ht="48" customHeight="1">
      <x:c r="A44" s="100" t="str">
        <x:v>Chicago screen</x:v>
      </x:c>
      <x:c r="B44" s="100" t="str">
        <x:v>No promotion</x:v>
      </x:c>
      <x:c r="C44" s="100" t="str">
        <x:v>Washington Plaza returned in Tier 1 search; remaining results were generic rental inventory or incomplete/closed records.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f8148b5bda2144cf"/>
    <x:tablePart xmlns:r="http://schemas.openxmlformats.org/officeDocument/2006/relationships" r:id="R0dbe9177e15548d7"/>
    <x:tablePart xmlns:r="http://schemas.openxmlformats.org/officeDocument/2006/relationships" r:id="R502f48c1b6f44877"/>
  </x:tableParts>
</x:worksheet>
</file>