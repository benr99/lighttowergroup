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1fe6f09e8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93243eb20c4b16"/>
    <x:sheet xmlns:r="http://schemas.openxmlformats.org/officeDocument/2006/relationships" name="Action Queue" sheetId="2" r:id="Ra2a31e5f96dd464a"/>
    <x:sheet xmlns:r="http://schemas.openxmlformats.org/officeDocument/2006/relationships" name="Watch" sheetId="3" r:id="R5fac10bb50494974"/>
    <x:sheet xmlns:r="http://schemas.openxmlformats.org/officeDocument/2006/relationships" name="Exclusions" sheetId="4" r:id="R3024d9f1bd7a4e16"/>
    <x:sheet xmlns:r="http://schemas.openxmlformats.org/officeDocument/2006/relationships" name="Coverage &amp; Sources" sheetId="5" r:id="R50733416c3f6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#,##0;[Red](&quot;$&quot;#,##0);-"/>
    <x:numFmt numFmtId="202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1F8"/>
      </x:patternFill>
    </x:fill>
    <x:fill>
      <x:patternFill patternType="solid">
        <x:fgColor rgb="FF1F5A8A"/>
      </x:patternFill>
    </x:fill>
    <x:fill>
      <x:patternFill patternType="solid">
        <x:fgColor rgb="FFFFF4CC"/>
      </x:patternFill>
    </x:fill>
    <x:fill>
      <x:patternFill patternType="solid">
        <x:fgColor rgb="FFE8F5E9"/>
      </x:patternFill>
    </x:fill>
    <x:fill>
      <x:patternFill patternType="solid">
        <x:fgColor rgb="FFFDECEC"/>
      </x:patternFill>
    </x:fill>
  </x:fills>
  <x:borders count="13">
    <x:border/>
    <x:border>
      <x:left style="thin">
        <x:color rgb="FF7B8794"/>
      </x:left>
      <x:top style="thin">
        <x:color rgb="FF7B8794"/>
      </x:top>
      <x:bottom style="thin">
        <x:color rgb="FF7B8794"/>
      </x:bottom>
    </x:border>
    <x:border>
      <x:right style="thin">
        <x:color rgb="FF7B8794"/>
      </x:right>
      <x:top style="thin">
        <x:color rgb="FF7B8794"/>
      </x:top>
      <x:bottom style="thin">
        <x:color rgb="FF7B8794"/>
      </x:bottom>
    </x:border>
    <x:border>
      <x:left style="thin">
        <x:color rgb="FF7B8794"/>
      </x:left>
      <x:right style="thin">
        <x:color rgb="FFD9E2EC"/>
      </x:right>
      <x:top style="thin">
        <x:color rgb="FF7B8794"/>
      </x:top>
      <x:bottom style="thin">
        <x:color rgb="FFD9E2EC"/>
      </x:bottom>
    </x:border>
    <x:border>
      <x:left style="thin">
        <x:color rgb="FFD9E2EC"/>
      </x:left>
      <x:top style="thin">
        <x:color rgb="FF7B8794"/>
      </x:top>
      <x:bottom style="thin">
        <x:color rgb="FFD9E2EC"/>
      </x:bottom>
    </x:border>
    <x:border>
      <x:left style="thin">
        <x:color rgb="FF7B8794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left style="thin">
        <x:color rgb="FF7B8794"/>
      </x:left>
      <x:right style="thin">
        <x:color rgb="FFD9E2EC"/>
      </x:right>
      <x:top style="thin">
        <x:color rgb="FFD9E2EC"/>
      </x:top>
      <x:bottom style="thin">
        <x:color rgb="FF7B8794"/>
      </x:bottom>
    </x:border>
    <x:border>
      <x:left style="thin">
        <x:color rgb="FFD9E2EC"/>
      </x:left>
      <x:top style="thin">
        <x:color rgb="FFD9E2EC"/>
      </x:top>
      <x:bottom style="thin">
        <x:color rgb="FF7B8794"/>
      </x:bottom>
    </x:border>
    <x:border>
      <x:top style="thin">
        <x:color rgb="FF7B8794"/>
      </x:top>
      <x:bottom style="thin">
        <x:color rgb="FF7B8794"/>
      </x:bottom>
    </x:border>
    <x:border>
      <x:left style="thin">
        <x:color rgb="FFD9E2EC"/>
      </x:left>
      <x:right style="thin">
        <x:color rgb="FFD9E2EC"/>
      </x:right>
      <x:top style="thin">
        <x:color rgb="FF7B8794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7B8794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top" wrapText="1"/>
    </x:xf>
    <x:xf numFmtId="0" fontId="3" fillId="4" borderId="10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202" fontId="0" fillId="0" borderId="12" xfId="0" applyNumberFormat="1" applyFont="1" applyFill="1" applyBorder="1" applyAlignment="1">
      <x:alignment vertical="top" wrapText="1"/>
    </x:xf>
    <x:xf numFmtId="200" fontId="0" fillId="6" borderId="11" xfId="0" applyNumberFormat="1" applyFont="1" applyFill="1" applyBorder="1" applyAlignment="1">
      <x:alignment vertical="top" wrapText="1"/>
    </x:xf>
    <x:xf numFmtId="200" fontId="0" fillId="6" borderId="12" xfId="0" applyNumberFormat="1" applyFont="1" applyFill="1" applyBorder="1" applyAlignment="1">
      <x:alignment vertical="top" wrapText="1"/>
    </x:xf>
    <x:xf numFmtId="200" fontId="0" fillId="5" borderId="11" xfId="0" applyNumberFormat="1" applyFont="1" applyFill="1" applyBorder="1" applyAlignment="1">
      <x:alignment vertical="top" wrapText="1"/>
    </x:xf>
    <x:xf numFmtId="200" fontId="0" fillId="5" borderId="12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4c7f10dc74ccf" /><Relationship Type="http://schemas.openxmlformats.org/officeDocument/2006/relationships/theme" Target="/xl/theme/theme1.xml" Id="R8b8c42665354408b" /><Relationship Type="http://schemas.openxmlformats.org/officeDocument/2006/relationships/sharedStrings" Target="/xl/sharedStrings.xml" Id="R0c651d9b1c6341e8" /><Relationship Type="http://schemas.openxmlformats.org/officeDocument/2006/relationships/worksheet" Target="/xl/worksheets/sheet1.xml" Id="Rbf93243eb20c4b16" /><Relationship Type="http://schemas.openxmlformats.org/officeDocument/2006/relationships/worksheet" Target="/xl/worksheets/sheet2.xml" Id="Ra2a31e5f96dd464a" /><Relationship Type="http://schemas.openxmlformats.org/officeDocument/2006/relationships/worksheet" Target="/xl/worksheets/sheet3.xml" Id="R5fac10bb50494974" /><Relationship Type="http://schemas.openxmlformats.org/officeDocument/2006/relationships/worksheet" Target="/xl/worksheets/sheet4.xml" Id="R3024d9f1bd7a4e16" /><Relationship Type="http://schemas.openxmlformats.org/officeDocument/2006/relationships/worksheet" Target="/xl/worksheets/sheet5.xml" Id="R50733416c3f647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2" hidden="0" customWidth="1"/>
    <x:col min="6" max="6" width="14" hidden="0" customWidth="1"/>
    <x:col min="7" max="7" width="20" hidden="0" customWidth="1"/>
    <x:col min="8" max="8" width="42" hidden="0" customWidth="1"/>
  </x:cols>
  <x:sheetData>
    <x:row r="1" ht="28" customHeight="1">
      <x:c r="A1" s="4" t="str">
        <x:v>Light Tower Group — $10M+ Multifamily Sale &amp; Capital Opportunity Engine</x:v>
      </x:c>
      <x:c r="B1" s="4"/>
      <x:c r="C1" s="4"/>
      <x:c r="D1" s="4"/>
      <x:c r="E1" s="4"/>
      <x:c r="F1" s="4"/>
      <x:c r="G1" s="4"/>
      <x:c r="H1" s="4"/>
    </x:row>
    <x:row r="2" ht="30" customHeight="1">
      <x:c r="A2" s="9" t="str">
        <x:v>Run date: August 15, 2026 | Report-only | Targeted public-source sweep</x:v>
      </x:c>
      <x:c r="B2" s="9"/>
      <x:c r="C2" s="9"/>
      <x:c r="D2" s="9"/>
      <x:c r="E2" s="9"/>
      <x:c r="F2" s="9"/>
      <x:c r="G2" s="9"/>
      <x:c r="H2" s="9"/>
    </x:row>
    <x:row r="4" ht="24" customHeight="1">
      <x:c r="A4" s="24" t="str">
        <x:v>Action Queue</x:v>
      </x:c>
      <x:c r="B4" s="25" t="str">
        <x:v>Count</x:v>
      </x:c>
      <x:c r="D4" s="24" t="str">
        <x:v>Pipeline</x:v>
      </x:c>
      <x:c r="E4" s="25" t="str">
        <x:v>Count</x:v>
      </x:c>
    </x:row>
    <x:row r="5" ht="24" customHeight="1">
      <x:c r="A5" s="26" t="str">
        <x:v>Priority (85+)</x:v>
      </x:c>
      <x:c r="B5" s="42" t="n">
        <x:f>COUNTIF('Action Queue'!E5:E50,"&gt;=85")</x:f>
        <x:v>1</x:v>
      </x:c>
      <x:c r="D5" s="26" t="str">
        <x:v>Watch (65–74)</x:v>
      </x:c>
      <x:c r="E5" s="42" t="n">
        <x:f>COUNT('Watch'!D5:D50)</x:f>
        <x:v>11</x:v>
      </x:c>
    </x:row>
    <x:row r="6" ht="24" customHeight="1">
      <x:c r="A6" s="26" t="str">
        <x:v>Qualified (75–84)</x:v>
      </x:c>
      <x:c r="B6" s="42" t="n">
        <x:f>COUNTIFS('Action Queue'!E5:E50,"&gt;=75",'Action Queue'!E5:E50,"&lt;85")</x:f>
        <x:v>2</x:v>
      </x:c>
      <x:c r="D6" s="26" t="str">
        <x:v>Excluded</x:v>
      </x:c>
      <x:c r="E6" s="42" t="n">
        <x:f>COUNTA('Exclusions'!A5:A50)</x:f>
        <x:v>6</x:v>
      </x:c>
    </x:row>
    <x:row r="7" ht="24" customHeight="1">
      <x:c r="A7" s="28" t="str">
        <x:v>Total Action Queue</x:v>
      </x:c>
      <x:c r="B7" s="43" t="n">
        <x:f>SUM(B5:B6)</x:f>
        <x:v>3</x:v>
      </x:c>
      <x:c r="D7" s="28" t="str">
        <x:v>New Action Leads</x:v>
      </x:c>
      <x:c r="E7" s="43" t="n">
        <x:f>COUNTIF('Action Queue'!F5:F50,"New")</x:f>
        <x:v>0</x:v>
      </x:c>
    </x:row>
    <x:row r="8" ht="24" customHeight="1"/>
    <x:row r="9" ht="24" customHeight="1">
      <x:c r="A9" s="38" t="str">
        <x:v>Action Queue — 85+ priority and 75–84 qualified only</x:v>
      </x:c>
      <x:c r="B9" s="38"/>
      <x:c r="C9" s="38"/>
      <x:c r="D9" s="38"/>
      <x:c r="E9" s="38"/>
      <x:c r="F9" s="38"/>
      <x:c r="G9" s="38"/>
      <x:c r="H9" s="38"/>
    </x:row>
    <x:row r="10" ht="24" customHeight="1">
      <x:c r="A10" s="24" t="str">
        <x:v>Lead ID</x:v>
      </x:c>
      <x:c r="B10" s="35" t="str">
        <x:v>Asset</x:v>
      </x:c>
      <x:c r="C10" s="35" t="str">
        <x:v>Classification</x:v>
      </x:c>
      <x:c r="D10" s="35" t="str">
        <x:v>$10M Gate</x:v>
      </x:c>
      <x:c r="E10" s="35" t="str">
        <x:v>Score</x:v>
      </x:c>
      <x:c r="F10" s="35" t="str">
        <x:v>Run Status</x:v>
      </x:c>
      <x:c r="G10" s="35" t="str">
        <x:v>MSA</x:v>
      </x:c>
      <x:c r="H10" s="25" t="str">
        <x:v>Light Tower Angle</x:v>
      </x:c>
    </x:row>
    <x:row r="11" ht="24" customHeight="1">
      <x:c r="A11" s="26" t="str">
        <x:f>'Action Queue'!A5</x:f>
        <x:v>CHI-001</x:v>
      </x:c>
      <x:c r="B11" s="36" t="str">
        <x:f>'Action Queue'!B5</x:f>
        <x:v>Drexel Terraces</x:v>
      </x:c>
      <x:c r="C11" s="36" t="str">
        <x:f>'Action Queue'!C5</x:f>
        <x:v>Capital Event</x:v>
      </x:c>
      <x:c r="D11" s="36" t="str">
        <x:f>'Action Queue'!D5</x:f>
        <x:v>$31.0M original debt</x:v>
      </x:c>
      <x:c r="E11" s="44" t="n">
        <x:f>'Action Queue'!E5</x:f>
        <x:v>85</x:v>
      </x:c>
      <x:c r="F11" s="36" t="str">
        <x:f>'Action Queue'!F5</x:f>
        <x:v>Continuing</x:v>
      </x:c>
      <x:c r="G11" s="36" t="str">
        <x:f>'Action Queue'!H5</x:f>
        <x:v>Chicago MSA</x:v>
      </x:c>
      <x:c r="H11" s="27" t="str">
        <x:f>'Action Queue'!O5</x:f>
        <x:v>Lender dialogue / note-workout capital / receiver-transition senior refinance</x:v>
      </x:c>
    </x:row>
    <x:row r="12" ht="24" customHeight="1">
      <x:c r="A12" s="26" t="str">
        <x:f>'Action Queue'!A6</x:f>
        <x:v>CHI-004</x:v>
      </x:c>
      <x:c r="B12" s="36" t="str">
        <x:f>'Action Queue'!B6</x:f>
        <x:v>Washington Plaza</x:v>
      </x:c>
      <x:c r="C12" s="36" t="str">
        <x:f>'Action Queue'!C6</x:f>
        <x:v>Active Sale</x:v>
      </x:c>
      <x:c r="D12" s="36" t="str">
        <x:f>'Action Queue'!D6</x:f>
        <x:v>$12.0M asking</x:v>
      </x:c>
      <x:c r="E12" s="44" t="n">
        <x:f>'Action Queue'!E6</x:f>
        <x:v>78</x:v>
      </x:c>
      <x:c r="F12" s="36" t="str">
        <x:f>'Action Queue'!F6</x:f>
        <x:v>Continuing</x:v>
      </x:c>
      <x:c r="G12" s="36" t="str">
        <x:f>'Action Queue'!H6</x:f>
        <x:v>Chicago MSA</x:v>
      </x:c>
      <x:c r="H12" s="27" t="str">
        <x:f>'Action Queue'!O6</x:f>
        <x:v>Buyer financing / acquisition-sale advisory / senior refinance</x:v>
      </x:c>
    </x:row>
    <x:row r="13" ht="24" customHeight="1">
      <x:c r="A13" s="28" t="str">
        <x:f>'Action Queue'!A7</x:f>
        <x:v>PHI-006</x:v>
      </x:c>
      <x:c r="B13" s="37" t="str">
        <x:f>'Action Queue'!B7</x:f>
        <x:v>2328–2344 N. 2nd St.</x:v>
      </x:c>
      <x:c r="C13" s="37" t="str">
        <x:f>'Action Queue'!C7</x:f>
        <x:v>Active Sale</x:v>
      </x:c>
      <x:c r="D13" s="37" t="str">
        <x:f>'Action Queue'!D7</x:f>
        <x:v>$12.0M asking</x:v>
      </x:c>
      <x:c r="E13" s="45" t="n">
        <x:f>'Action Queue'!E7</x:f>
        <x:v>77</x:v>
      </x:c>
      <x:c r="F13" s="37" t="str">
        <x:f>'Action Queue'!F7</x:f>
        <x:v>Continuing</x:v>
      </x:c>
      <x:c r="G13" s="37" t="str">
        <x:f>'Action Queue'!H7</x:f>
        <x:v>Philadelphia MSA</x:v>
      </x:c>
      <x:c r="H13" s="29" t="str">
        <x:f>'Action Queue'!O7</x:f>
        <x:v>Buyer financing / lease-transition bridge / acquisition-sale advisory</x:v>
      </x:c>
    </x:row>
    <x:row r="14" ht="24" customHeight="1"/>
    <x:row r="15" ht="24" customHeight="1">
      <x:c r="A15" s="38" t="str">
        <x:v>Run controls &amp; coverage</x:v>
      </x:c>
      <x:c r="B15" s="38"/>
      <x:c r="C15" s="38"/>
      <x:c r="D15" s="38"/>
      <x:c r="E15" s="38"/>
      <x:c r="F15" s="38"/>
      <x:c r="G15" s="38"/>
      <x:c r="H15" s="38"/>
    </x:row>
    <x:row r="16" ht="36" customHeight="1">
      <x:c r="A16" s="41" t="str">
        <x:v>No prospect outreach was drafted, queued, scheduled, implied, or sent. Outreach requires explicit approval of named lead IDs for this specific run.</x:v>
      </x:c>
      <x:c r="B16" s="41"/>
      <x:c r="C16" s="41"/>
      <x:c r="D16" s="41"/>
      <x:c r="E16" s="41"/>
      <x:c r="F16" s="41"/>
      <x:c r="G16" s="41"/>
      <x:c r="H16" s="41"/>
    </x:row>
    <x:row r="17" ht="36" customHeight="1">
      <x:c r="A17" s="41" t="str">
        <x:v>Coverage is targeted public-source research in specified MSAs only; it is never universal coverage or statewide Florida/North Carolina coverage.</x:v>
      </x:c>
      <x:c r="B17" s="41"/>
      <x:c r="C17" s="41"/>
      <x:c r="D17" s="41"/>
      <x:c r="E17" s="41"/>
      <x:c r="F17" s="41"/>
      <x:c r="G17" s="41"/>
      <x:c r="H17" s="41"/>
    </x:row>
    <x:row r="18" ht="36" customHeight="1">
      <x:c r="A18" s="41" t="str">
        <x:v>Kenmore East moved to Exclusions after its direct listing reported it was no longer advertised; current availability must be reverified before reconsideration.</x:v>
      </x:c>
      <x:c r="B18" s="41"/>
      <x:c r="C18" s="41"/>
      <x:c r="D18" s="41"/>
      <x:c r="E18" s="41"/>
      <x:c r="F18" s="41"/>
      <x:c r="G18" s="41"/>
      <x:c r="H18" s="41"/>
    </x:row>
    <x:row r="19" ht="36" customHeight="1">
      <x:c r="A19" s="41" t="str">
        <x:v>The Cooper and 1400 Venice are new Watch items only: respectively RSO status and a dated listing record remain unverified.</x:v>
      </x:c>
      <x:c r="B19" s="41"/>
      <x:c r="C19" s="41"/>
      <x:c r="D19" s="41"/>
      <x:c r="E19" s="41"/>
      <x:c r="F19" s="41"/>
      <x:c r="G19" s="41"/>
      <x:c r="H19" s="41"/>
    </x:row>
  </x:sheetData>
  <x:mergeCells>
    <x:mergeCell ref="A1:H1"/>
    <x:mergeCell ref="A2:H2"/>
    <x:mergeCell ref="A9:H9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10" hidden="0" customWidth="1"/>
    <x:col min="6" max="6" width="13" hidden="0" customWidth="1"/>
    <x:col min="7" max="7" width="28" hidden="0" customWidth="1"/>
    <x:col min="8" max="8" width="18" hidden="0" customWidth="1"/>
    <x:col min="9" max="9" width="10" hidden="0" customWidth="1"/>
    <x:col min="10" max="10" width="17" hidden="0" customWidth="1"/>
    <x:col min="11" max="11" width="36" hidden="0" customWidth="1"/>
    <x:col min="12" max="12" width="55" hidden="0" customWidth="1"/>
    <x:col min="13" max="13" width="48" hidden="0" customWidth="1"/>
    <x:col min="14" max="14" width="48" hidden="0" customWidth="1"/>
    <x:col min="15" max="15" width="45" hidden="0" customWidth="1"/>
    <x:col min="16" max="16" width="15" hidden="0" customWidth="1"/>
    <x:col min="17" max="17" width="12" hidden="0" customWidth="1"/>
    <x:col min="18" max="18" width="25" hidden="0" customWidth="1"/>
    <x:col min="19" max="19" width="36" hidden="0" customWidth="1"/>
    <x:col min="20" max="20" width="56" hidden="0" customWidth="1"/>
  </x:cols>
  <x:sheetData>
    <x:row r="1" ht="28" customHeight="1">
      <x:c r="A1" s="4" t="str">
        <x:v>Action Queue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0" customHeight="1">
      <x:c r="A2" s="9" t="str">
        <x:v>Only 85+ priority and 75–84 qualified leads. $10M Gate is recorded for each action item.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</x:row>
    <x:row r="4">
      <x:c r="A4" s="24" t="str">
        <x:v>Lead ID</x:v>
      </x:c>
      <x:c r="B4" s="35" t="str">
        <x:v>Asset</x:v>
      </x:c>
      <x:c r="C4" s="35" t="str">
        <x:v>Classification</x:v>
      </x:c>
      <x:c r="D4" s="35" t="str">
        <x:v>$10M Gate</x:v>
      </x:c>
      <x:c r="E4" s="35" t="str">
        <x:v>Score</x:v>
      </x:c>
      <x:c r="F4" s="35" t="str">
        <x:v>Run Status</x:v>
      </x:c>
      <x:c r="G4" s="35" t="str">
        <x:v>Address</x:v>
      </x:c>
      <x:c r="H4" s="35" t="str">
        <x:v>MSA</x:v>
      </x:c>
      <x:c r="I4" s="35" t="str">
        <x:v>Units</x:v>
      </x:c>
      <x:c r="J4" s="35" t="str">
        <x:v>Asking / Debt ($)</x:v>
      </x:c>
      <x:c r="K4" s="35" t="str">
        <x:v>Owner / Sponsor / Lender / Broker</x:v>
      </x:c>
      <x:c r="L4" s="35" t="str">
        <x:v>Observed Facts</x:v>
      </x:c>
      <x:c r="M4" s="35" t="str">
        <x:v>Inference</x:v>
      </x:c>
      <x:c r="N4" s="35" t="str">
        <x:v>Counterargument</x:v>
      </x:c>
      <x:c r="O4" s="35" t="str">
        <x:v>Light Tower Angle</x:v>
      </x:c>
      <x:c r="P4" s="35" t="str">
        <x:v>Observed / Listing Date</x:v>
      </x:c>
      <x:c r="Q4" s="35" t="str">
        <x:v>Source Tier</x:v>
      </x:c>
      <x:c r="R4" s="35" t="str">
        <x:v>Current Availability</x:v>
      </x:c>
      <x:c r="S4" s="35" t="str">
        <x:v>Verified Public Contact</x:v>
      </x:c>
      <x:c r="T4" s="25" t="str">
        <x:v>Source URL</x:v>
      </x:c>
    </x:row>
    <x:row r="5" ht="64" customHeight="1">
      <x:c r="A5" s="26" t="str">
        <x:v>CHI-001</x:v>
      </x:c>
      <x:c r="B5" s="36" t="str">
        <x:v>Drexel Terraces</x:v>
      </x:c>
      <x:c r="C5" s="36" t="str">
        <x:v>Capital Event</x:v>
      </x:c>
      <x:c r="D5" s="36" t="str">
        <x:v>$31.0M original debt</x:v>
      </x:c>
      <x:c r="E5" s="50" t="n">
        <x:v>85</x:v>
      </x:c>
      <x:c r="F5" s="36" t="str">
        <x:v>Continuing</x:v>
      </x:c>
      <x:c r="G5" s="36" t="str">
        <x:v>4830–4848 1/2 S. Drexel Blvd.</x:v>
      </x:c>
      <x:c r="H5" s="36" t="str">
        <x:v>Chicago MSA</x:v>
      </x:c>
      <x:c r="I5" s="44" t="n">
        <x:v>116</x:v>
      </x:c>
      <x:c r="J5" s="46" t="n">
        <x:v>31000000</x:v>
      </x:c>
      <x:c r="K5" s="36" t="str">
        <x:v>Lowenstein-controlled borrower; Trimont/LNR Partners servicers; Morgan Stanley originator</x:v>
      </x:c>
      <x:c r="L5" s="36" t="str">
        <x:v>May 19 reporting identifies foreclosure, payment default, and receiver motion; June 29 servicing commentary identifies a lender foreclosure/workout strategy.</x:v>
      </x:c>
      <x:c r="M5" s="36" t="str">
        <x:v>Lender-workout path supports note/workout capital, receiver-transition senior financing, or lender-led sale dialogue.</x:v>
      </x:c>
      <x:c r="N5" s="36" t="str">
        <x:v>A cure, modification, or receiver stabilization could defer a disposition; no public sale mandate.</x:v>
      </x:c>
      <x:c r="O5" s="36" t="str">
        <x:v>Lender dialogue / note-workout capital / receiver-transition senior refinance</x:v>
      </x:c>
      <x:c r="P5" s="48" t="n">
        <x:v>46202</x:v>
      </x:c>
      <x:c r="Q5" s="36" t="str">
        <x:v>Tier 2</x:v>
      </x:c>
      <x:c r="R5" s="36" t="str">
        <x:v>Capital event; not confirmed sale process</x:v>
      </x:c>
      <x:c r="S5" s="36" t="str">
        <x:v>Trimont / LNR Partners publicly named; no individual deal contact</x:v>
      </x:c>
      <x:c r="T5" s="27" t="str">
        <x:v>https://dealcharts.org/capitalmarkets/abs/cmbs/counterparty/specialservicer/midland_loan_services</x:v>
      </x:c>
    </x:row>
    <x:row r="6" ht="64" customHeight="1">
      <x:c r="A6" s="26" t="str">
        <x:v>CHI-004</x:v>
      </x:c>
      <x:c r="B6" s="36" t="str">
        <x:v>Washington Plaza</x:v>
      </x:c>
      <x:c r="C6" s="36" t="str">
        <x:v>Active Sale</x:v>
      </x:c>
      <x:c r="D6" s="36" t="str">
        <x:v>$12.0M asking</x:v>
      </x:c>
      <x:c r="E6" s="50" t="n">
        <x:v>78</x:v>
      </x:c>
      <x:c r="F6" s="36" t="str">
        <x:v>Continuing</x:v>
      </x:c>
      <x:c r="G6" s="36" t="str">
        <x:v>5501 W. Washington Blvd.</x:v>
      </x:c>
      <x:c r="H6" s="36" t="str">
        <x:v>Chicago MSA</x:v>
      </x:c>
      <x:c r="I6" s="44" t="n">
        <x:v>172</x:v>
      </x:c>
      <x:c r="J6" s="46" t="n">
        <x:v>12000000</x:v>
      </x:c>
      <x:c r="K6" s="36" t="str">
        <x:v>33 Realty; Brian Mond and George Benitez</x:v>
      </x:c>
      <x:c r="L6" s="36" t="str">
        <x:v>Tier 1 listing remains current; July 22 market date; 172 apartments; 98% occupancy; R-4 zoning.</x:v>
      </x:c>
      <x:c r="M6" s="36" t="str">
        <x:v>Fresh conventional sale process supports buyer financing and acquisition-sale advisory.</x:v>
      </x:c>
      <x:c r="N6" s="36" t="str">
        <x:v>Subsidy contracts, deferred maintenance, seller authority, and rent roll are unverified.</x:v>
      </x:c>
      <x:c r="O6" s="36" t="str">
        <x:v>Buyer financing / acquisition-sale advisory / senior refinance</x:v>
      </x:c>
      <x:c r="P6" s="48" t="n">
        <x:v>46225</x:v>
      </x:c>
      <x:c r="Q6" s="36" t="str">
        <x:v>Tier 1</x:v>
      </x:c>
      <x:c r="R6" s="36" t="str">
        <x:v>Currently available (reviewed Aug. 15)</x:v>
      </x:c>
      <x:c r="S6" s="36" t="str">
        <x:v>Brian Mond +1 773-615-2626; George Benitez +1 239-443-0768</x:v>
      </x:c>
      <x:c r="T6" s="27" t="str">
        <x:v>https://www.loopnet.com/Listing/5501-W-Washington-Blvd-Chicago-IL/41395207/</x:v>
      </x:c>
    </x:row>
    <x:row r="7" ht="64" customHeight="1">
      <x:c r="A7" s="28" t="str">
        <x:v>PHI-006</x:v>
      </x:c>
      <x:c r="B7" s="37" t="str">
        <x:v>2328–2344 N. 2nd St.</x:v>
      </x:c>
      <x:c r="C7" s="37" t="str">
        <x:v>Active Sale</x:v>
      </x:c>
      <x:c r="D7" s="37" t="str">
        <x:v>$12.0M asking</x:v>
      </x:c>
      <x:c r="E7" s="51" t="n">
        <x:v>77</x:v>
      </x:c>
      <x:c r="F7" s="37" t="str">
        <x:v>Continuing</x:v>
      </x:c>
      <x:c r="G7" s="37" t="str">
        <x:v>2328–2344 N. 2nd St.</x:v>
      </x:c>
      <x:c r="H7" s="37" t="str">
        <x:v>Philadelphia MSA</x:v>
      </x:c>
      <x:c r="I7" s="45" t="n">
        <x:v>33</x:v>
      </x:c>
      <x:c r="J7" s="47" t="n">
        <x:v>11999999</x:v>
      </x:c>
      <x:c r="K7" s="37" t="str">
        <x:v>McCann Commercial; Jon O'Shea</x:v>
      </x:c>
      <x:c r="L7" s="37" t="str">
        <x:v>Tier 1 listing remains current; June 22 market date; 33 apartments, 3,750 SF ground-floor commercial, and four adjacent residential parcels; 17 units under master lease through July 2027.</x:v>
      </x:c>
      <x:c r="M7" s="37" t="str">
        <x:v>Sale process and master-lease rollover support buyer financing, lease-transition bridge, or recapitalization analysis.</x:v>
      </x:c>
      <x:c r="N7" s="37" t="str">
        <x:v>Retail, adjacent parcels, master-lease assignability, and campus proximity require underwriting; confirm non-student lease structure.</x:v>
      </x:c>
      <x:c r="O7" s="37" t="str">
        <x:v>Buyer financing / lease-transition bridge / acquisition-sale advisory</x:v>
      </x:c>
      <x:c r="P7" s="49" t="n">
        <x:v>46195</x:v>
      </x:c>
      <x:c r="Q7" s="37" t="str">
        <x:v>Tier 1</x:v>
      </x:c>
      <x:c r="R7" s="37" t="str">
        <x:v>Currently available (reviewed Aug. 15)</x:v>
      </x:c>
      <x:c r="S7" s="37" t="str">
        <x:v>Jon O'Shea +1 267-780-3419</x:v>
      </x:c>
      <x:c r="T7" s="29" t="str">
        <x:v>https://www.loopnet.com/Listing/2328-2344-N-2nd-St-Philadelphia-PA/41009347/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0" hidden="0" customWidth="1"/>
    <x:col min="5" max="5" width="13" hidden="0" customWidth="1"/>
    <x:col min="6" max="6" width="28" hidden="0" customWidth="1"/>
    <x:col min="7" max="7" width="18" hidden="0" customWidth="1"/>
    <x:col min="8" max="8" width="10" hidden="0" customWidth="1"/>
    <x:col min="9" max="9" width="17" hidden="0" customWidth="1"/>
    <x:col min="10" max="10" width="48" hidden="0" customWidth="1"/>
    <x:col min="11" max="11" width="42" hidden="0" customWidth="1"/>
    <x:col min="12" max="12" width="52" hidden="0" customWidth="1"/>
    <x:col min="13" max="13" width="56" hidden="0" customWidth="1"/>
  </x:cols>
  <x:sheetData>
    <x:row r="1" ht="28" customHeight="1">
      <x:c r="A1" s="4" t="str">
        <x:v>Watch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9" t="str">
        <x:v>Scores 65–74. Each lead requires the precise verification step shown before promotion.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4">
      <x:c r="A4" s="24" t="str">
        <x:v>Lead ID</x:v>
      </x:c>
      <x:c r="B4" s="35" t="str">
        <x:v>Asset</x:v>
      </x:c>
      <x:c r="C4" s="35" t="str">
        <x:v>Classification</x:v>
      </x:c>
      <x:c r="D4" s="35" t="str">
        <x:v>Score</x:v>
      </x:c>
      <x:c r="E4" s="35" t="str">
        <x:v>Run Status</x:v>
      </x:c>
      <x:c r="F4" s="35" t="str">
        <x:v>Address</x:v>
      </x:c>
      <x:c r="G4" s="35" t="str">
        <x:v>MSA</x:v>
      </x:c>
      <x:c r="H4" s="35" t="str">
        <x:v>Units</x:v>
      </x:c>
      <x:c r="I4" s="35" t="str">
        <x:v>Asking / Debt ($)</x:v>
      </x:c>
      <x:c r="J4" s="35" t="str">
        <x:v>Observed Status</x:v>
      </x:c>
      <x:c r="K4" s="35" t="str">
        <x:v>Why Watch</x:v>
      </x:c>
      <x:c r="L4" s="35" t="str">
        <x:v>Next Verification Step</x:v>
      </x:c>
      <x:c r="M4" s="25" t="str">
        <x:v>Source URL</x:v>
      </x:c>
    </x:row>
    <x:row r="5" ht="54" customHeight="1">
      <x:c r="A5" s="26" t="str">
        <x:v>LA-008</x:v>
      </x:c>
      <x:c r="B5" s="36" t="str">
        <x:v>The Cooper</x:v>
      </x:c>
      <x:c r="C5" s="36" t="str">
        <x:v>Active Sale</x:v>
      </x:c>
      <x:c r="D5" s="52" t="n">
        <x:v>71</x:v>
      </x:c>
      <x:c r="E5" s="36" t="str">
        <x:v>New</x:v>
      </x:c>
      <x:c r="F5" s="36" t="str">
        <x:v>6615 Franklin Ave.</x:v>
      </x:c>
      <x:c r="G5" s="36" t="str">
        <x:v>Los Angeles MSA</x:v>
      </x:c>
      <x:c r="H5" s="44" t="n">
        <x:v>75</x:v>
      </x:c>
      <x:c r="I5" s="46" t="n">
        <x:v>18195000</x:v>
      </x:c>
      <x:c r="J5" s="36" t="str">
        <x:v>July 20, 2026 MLS market date; Marcus &amp; Millichap; Rick Raymundo</x:v>
      </x:c>
      <x:c r="K5" s="36" t="str">
        <x:v>1962 vintage makes RSO status material; no primary clearance reviewed.</x:v>
      </x:c>
      <x:c r="L5" s="36" t="str">
        <x:v>Pull HCIDLA RSO determination and OM rent-regulation disclosure.</x:v>
      </x:c>
      <x:c r="M5" s="27" t="str">
        <x:v>https://www.showcase.com/6615-franklin-ave-los-angeles-ca-90028/41365216/</x:v>
      </x:c>
    </x:row>
    <x:row r="6" ht="54" customHeight="1">
      <x:c r="A6" s="26" t="str">
        <x:v>LA-009</x:v>
      </x:c>
      <x:c r="B6" s="36" t="str">
        <x:v>1400 Venice Blvd.</x:v>
      </x:c>
      <x:c r="C6" s="36" t="str">
        <x:v>Active Sale</x:v>
      </x:c>
      <x:c r="D6" s="52" t="n">
        <x:v>72</x:v>
      </x:c>
      <x:c r="E6" s="36" t="str">
        <x:v>New</x:v>
      </x:c>
      <x:c r="F6" s="36" t="str">
        <x:v>1400 Venice Blvd.</x:v>
      </x:c>
      <x:c r="G6" s="36" t="str">
        <x:v>Los Angeles MSA</x:v>
      </x:c>
      <x:c r="H6" s="44" t="n">
        <x:v>31</x:v>
      </x:c>
      <x:c r="I6" s="46" t="n">
        <x:v>12950000</x:v>
      </x:c>
      <x:c r="J6" s="36" t="str">
        <x:v>Broker page says 1988 asset is not subject to LA rent control.</x:v>
      </x:c>
      <x:c r="K6" s="36" t="str">
        <x:v>Listing date is absent; mandatory date-recording gate is unmet.</x:v>
      </x:c>
      <x:c r="L6" s="36" t="str">
        <x:v>Obtain dated exclusive/MLS record, current availability, and OM.</x:v>
      </x:c>
      <x:c r="M6" s="27" t="str">
        <x:v>https://www.kittywallaceteam.com/available-listings</x:v>
      </x:c>
    </x:row>
    <x:row r="7" ht="54" customHeight="1">
      <x:c r="A7" s="26" t="str">
        <x:v>FL-003</x:v>
      </x:c>
      <x:c r="B7" s="36" t="str">
        <x:v>California Club Apartments</x:v>
      </x:c>
      <x:c r="C7" s="36" t="str">
        <x:v>Active Sale</x:v>
      </x:c>
      <x:c r="D7" s="52" t="n">
        <x:v>74</x:v>
      </x:c>
      <x:c r="E7" s="36" t="str">
        <x:v>Continuing</x:v>
      </x:c>
      <x:c r="F7" s="36" t="str">
        <x:v>750 NE 195th St.</x:v>
      </x:c>
      <x:c r="G7" s="36" t="str">
        <x:v>Miami MSA</x:v>
      </x:c>
      <x:c r="H7" s="44" t="n">
        <x:v>64</x:v>
      </x:c>
      <x:c r="I7" s="46" t="n">
        <x:v>11000000</x:v>
      </x:c>
      <x:c r="J7" s="36" t="str">
        <x:v>MLS A12016834 active; MSP Group, LLC; annual leases.</x:v>
      </x:c>
      <x:c r="K7" s="36" t="str">
        <x:v>Pricing/marketing data differ across public syndications; no individual broker verified.</x:v>
      </x:c>
      <x:c r="L7" s="36" t="str">
        <x:v>Obtain exclusive mandate, current OM/rent roll, and restriction confirmation.</x:v>
      </x:c>
      <x:c r="M7" s="27" t="str">
        <x:v>https://www.coldwellbankerhomes.com/fl/miami/750-ne-195th-st/pid_71184682/</x:v>
      </x:c>
    </x:row>
    <x:row r="8" ht="54" customHeight="1">
      <x:c r="A8" s="26" t="str">
        <x:v>CHI-003</x:v>
      </x:c>
      <x:c r="B8" s="36" t="str">
        <x:v>4520–26 S. Drexel Blvd.</x:v>
      </x:c>
      <x:c r="C8" s="36" t="str">
        <x:v>Capital Event</x:v>
      </x:c>
      <x:c r="D8" s="52" t="n">
        <x:v>74</x:v>
      </x:c>
      <x:c r="E8" s="36" t="str">
        <x:v>Continuing</x:v>
      </x:c>
      <x:c r="F8" s="36" t="str">
        <x:v>4520–26 S. Drexel Blvd.</x:v>
      </x:c>
      <x:c r="G8" s="36" t="str">
        <x:v>Chicago MSA</x:v>
      </x:c>
      <x:c r="H8" s="44" t="n">
        <x:v>68</x:v>
      </x:c>
      <x:c r="I8" s="46" t="n">
        <x:v>19400000</x:v>
      </x:c>
      <x:c r="J8" s="36" t="str">
        <x:v>June 10 reporting cites $19.4M+ alleged payoff and Greystone special servicing.</x:v>
      </x:c>
      <x:c r="K8" s="36" t="str">
        <x:v>Corroborating report is derivative; primary docket/receiver order absent.</x:v>
      </x:c>
      <x:c r="L8" s="36" t="str">
        <x:v>Pull Cook County primary docket and receiver order; confirm servicer, timetable, and regulatory constraints.</x:v>
      </x:c>
      <x:c r="M8" s="27" t="str">
        <x:v>https://therealdeal.com/chicago/2026/06/10/greystone-smacks-lowensteins-with-another-cmbs-foreclosure/</x:v>
      </x:c>
    </x:row>
    <x:row r="9" ht="54" customHeight="1">
      <x:c r="A9" s="26" t="str">
        <x:v>NY-001</x:v>
      </x:c>
      <x:c r="B9" s="36" t="str">
        <x:v>30-Unit MF Portfolio Sale</x:v>
      </x:c>
      <x:c r="C9" s="36" t="str">
        <x:v>Active Sale</x:v>
      </x:c>
      <x:c r="D9" s="52" t="n">
        <x:v>73</x:v>
      </x:c>
      <x:c r="E9" s="36" t="str">
        <x:v>Continuing</x:v>
      </x:c>
      <x:c r="F9" s="36" t="str">
        <x:v>Portfolio addresses undisclosed</x:v>
      </x:c>
      <x:c r="G9" s="36" t="str">
        <x:v>NYC MSA</x:v>
      </x:c>
      <x:c r="H9" s="44" t="n">
        <x:v>30</x:v>
      </x:c>
      <x:c r="I9" s="46" t="n">
        <x:v>18050000</x:v>
      </x:c>
      <x:c r="J9" s="36" t="str">
        <x:v>Listing says 100% free-market / occupied; January 5 listing date.</x:v>
      </x:c>
      <x:c r="K9" s="36" t="str">
        <x:v>Listing is stale; component-building regulation is unverified.</x:v>
      </x:c>
      <x:c r="L9" s="36" t="str">
        <x:v>Obtain live mandate, component-building regulatory records, and current price guidance.</x:v>
      </x:c>
      <x:c r="M9" s="27" t="str">
        <x:v>https://www.loopnet.com/Listing/30-Unit-MF-Portfolio-Sale/38971102/</x:v>
      </x:c>
    </x:row>
    <x:row r="10" ht="54" customHeight="1">
      <x:c r="A10" s="26" t="str">
        <x:v>FL-001</x:v>
      </x:c>
      <x:c r="B10" s="36" t="str">
        <x:v>Gables Galiano</x:v>
      </x:c>
      <x:c r="C10" s="36" t="str">
        <x:v>Active Sale</x:v>
      </x:c>
      <x:c r="D10" s="52" t="n">
        <x:v>73</x:v>
      </x:c>
      <x:c r="E10" s="36" t="str">
        <x:v>Continuing</x:v>
      </x:c>
      <x:c r="F10" s="36" t="str">
        <x:v>1091 Galiano St.</x:v>
      </x:c>
      <x:c r="G10" s="36" t="str">
        <x:v>Miami MSA</x:v>
      </x:c>
      <x:c r="H10" s="44" t="n">
        <x:v>27</x:v>
      </x:c>
      <x:c r="I10" s="46" t="n">
        <x:v>20000000</x:v>
      </x:c>
      <x:c r="J10" s="36" t="str">
        <x:v>MLS offering carries January 16 list date and extended marketing duration.</x:v>
      </x:c>
      <x:c r="K10" s="36" t="str">
        <x:v>Marketing duration creates mandate and price-freshness risk.</x:v>
      </x:c>
      <x:c r="L10" s="36" t="str">
        <x:v>Confirm current mandate and seller price flexibility with public broker.</x:v>
      </x:c>
      <x:c r="M10" s="27" t="str">
        <x:v>https://bogatovrealty.com/miami/commercial/4950965/</x:v>
      </x:c>
    </x:row>
    <x:row r="11" ht="54" customHeight="1">
      <x:c r="A11" s="26" t="str">
        <x:v>LA-003</x:v>
      </x:c>
      <x:c r="B11" s="36" t="str">
        <x:v>Nabi Apartments</x:v>
      </x:c>
      <x:c r="C11" s="36" t="str">
        <x:v>Active Sale</x:v>
      </x:c>
      <x:c r="D11" s="52" t="n">
        <x:v>72</x:v>
      </x:c>
      <x:c r="E11" s="36" t="str">
        <x:v>Continuing</x:v>
      </x:c>
      <x:c r="F11" s="36" t="str">
        <x:v>744 S. Mariposa Ave.</x:v>
      </x:c>
      <x:c r="G11" s="36" t="str">
        <x:v>Los Angeles MSA</x:v>
      </x:c>
      <x:c r="H11" s="44" t="n">
        <x:v>31</x:v>
      </x:c>
      <x:c r="I11" s="46" t="n">
        <x:v>10000000</x:v>
      </x:c>
      <x:c r="J11" s="36" t="str">
        <x:v>Broker-facing records show $10.0M offering.</x:v>
      </x:c>
      <x:c r="K11" s="36" t="str">
        <x:v>Listing date not displayed; affordability-covenant status not cleared.</x:v>
      </x:c>
      <x:c r="L11" s="36" t="str">
        <x:v>Obtain current mandate, listing date, affordability status, and T-12.</x:v>
      </x:c>
      <x:c r="M11" s="27" t="str">
        <x:v>https://www.showcase.com/744-s-mariposa-ave-los-angeles-ca-90005/41176859/</x:v>
      </x:c>
    </x:row>
    <x:row r="12" ht="54" customHeight="1">
      <x:c r="A12" s="26" t="str">
        <x:v>LA-007</x:v>
      </x:c>
      <x:c r="B12" s="36" t="str">
        <x:v>The Jeffries</x:v>
      </x:c>
      <x:c r="C12" s="36" t="str">
        <x:v>Active Sale</x:v>
      </x:c>
      <x:c r="D12" s="52" t="n">
        <x:v>71</x:v>
      </x:c>
      <x:c r="E12" s="36" t="str">
        <x:v>Continuing</x:v>
      </x:c>
      <x:c r="F12" s="36" t="str">
        <x:v>117 Winston St.</x:v>
      </x:c>
      <x:c r="G12" s="36" t="str">
        <x:v>Los Angeles MSA</x:v>
      </x:c>
      <x:c r="H12" s="44" t="n">
        <x:v>43</x:v>
      </x:c>
      <x:c r="I12" s="46" t="n">
        <x:v>10600000</x:v>
      </x:c>
      <x:c r="J12" s="36" t="str">
        <x:v>Listing states RSO-exempt but mixed use.</x:v>
      </x:c>
      <x:c r="K12" s="36" t="str">
        <x:v>Residential-income dominance and retail scope are not cleared.</x:v>
      </x:c>
      <x:c r="L12" s="36" t="str">
        <x:v>Obtain OM/broker confirmation of residential income dominance and retail scope.</x:v>
      </x:c>
      <x:c r="M12" s="27" t="str">
        <x:v>https://www.loopnet.com/Listing/117-Winston-St-Los-Angeles-CA/40413204/</x:v>
      </x:c>
    </x:row>
    <x:row r="13" ht="54" customHeight="1">
      <x:c r="A13" s="26" t="str">
        <x:v>PHI-008</x:v>
      </x:c>
      <x:c r="B13" s="36" t="str">
        <x:v>220–222 Church St.</x:v>
      </x:c>
      <x:c r="C13" s="36" t="str">
        <x:v>Active Sale</x:v>
      </x:c>
      <x:c r="D13" s="52" t="n">
        <x:v>70</x:v>
      </x:c>
      <x:c r="E13" s="36" t="str">
        <x:v>Continuing</x:v>
      </x:c>
      <x:c r="F13" s="36" t="str">
        <x:v>220–222 Church St.</x:v>
      </x:c>
      <x:c r="G13" s="36" t="str">
        <x:v>Philadelphia MSA</x:v>
      </x:c>
      <x:c r="H13" s="44" t="n">
        <x:v>40</x:v>
      </x:c>
      <x:c r="I13" s="46" t="n">
        <x:v>12000000</x:v>
      </x:c>
      <x:c r="J13" s="36" t="str">
        <x:v>Record has unit-count differences, commercial anchors, and retail/short-term-stay issues.</x:v>
      </x:c>
      <x:c r="K13" s="36" t="str">
        <x:v>Use and unit count remain ambiguous.</x:v>
      </x:c>
      <x:c r="L13" s="36" t="str">
        <x:v>Confirm unit count, apartment-income dominance, and live mandate.</x:v>
      </x:c>
      <x:c r="M13" s="27" t="str">
        <x:v>https://www.loopnet.com/Listing/220-222-Church-St-Philadelphia-PA/39165415/</x:v>
      </x:c>
    </x:row>
    <x:row r="14" ht="54" customHeight="1">
      <x:c r="A14" s="26" t="str">
        <x:v>PHI-007</x:v>
      </x:c>
      <x:c r="B14" s="36" t="str">
        <x:v>The Maxfield</x:v>
      </x:c>
      <x:c r="C14" s="36" t="str">
        <x:v>Active Sale</x:v>
      </x:c>
      <x:c r="D14" s="52" t="n">
        <x:v>70</x:v>
      </x:c>
      <x:c r="E14" s="36" t="str">
        <x:v>Continuing</x:v>
      </x:c>
      <x:c r="F14" s="36" t="str">
        <x:v>1533 Parrish St.</x:v>
      </x:c>
      <x:c r="G14" s="36" t="str">
        <x:v>Philadelphia MSA</x:v>
      </x:c>
      <x:c r="H14" s="44"/>
      <x:c r="I14" s="46"/>
      <x:c r="J14" s="36" t="str">
        <x:v>Long-marketed listing uses placeholder pro forma.</x:v>
      </x:c>
      <x:c r="K14" s="36" t="str">
        <x:v>Pricing / actual operating performance cannot be relied upon.</x:v>
      </x:c>
      <x:c r="L14" s="36" t="str">
        <x:v>Obtain current mandate, true T-12, and market-rate confirmation.</x:v>
      </x:c>
      <x:c r="M14" s="27" t="str">
        <x:v>https://www.loopnet.com/Listing/1533-Parrish-St-Philadelphia-PA/35238282/</x:v>
      </x:c>
    </x:row>
    <x:row r="15" ht="54" customHeight="1">
      <x:c r="A15" s="28" t="str">
        <x:v>FL-004</x:v>
      </x:c>
      <x:c r="B15" s="37" t="str">
        <x:v>601 NE 22nd St.</x:v>
      </x:c>
      <x:c r="C15" s="37" t="str">
        <x:v>Active Sale</x:v>
      </x:c>
      <x:c r="D15" s="53" t="n">
        <x:v>70</x:v>
      </x:c>
      <x:c r="E15" s="37" t="str">
        <x:v>Continuing</x:v>
      </x:c>
      <x:c r="F15" s="37" t="str">
        <x:v>601 NE 22nd St.</x:v>
      </x:c>
      <x:c r="G15" s="37" t="str">
        <x:v>Miami MSA</x:v>
      </x:c>
      <x:c r="H15" s="45"/>
      <x:c r="I15" s="47" t="n">
        <x:v>11777000</x:v>
      </x:c>
      <x:c r="J15" s="37" t="str">
        <x:v>Listing has Feb. 26, 2025 date and syndication unit-count differences.</x:v>
      </x:c>
      <x:c r="K15" s="37" t="str">
        <x:v>Materially stale; restriction status and current seller intent unknown.</x:v>
      </x:c>
      <x:c r="L15" s="37" t="str">
        <x:v>Obtain written current mandate, seller intent, restriction status, and rent roll.</x:v>
      </x:c>
      <x:c r="M15" s="29" t="str">
        <x:v>https://www.canvasre.com/property/43-A11774630-601-Ne-22nd-St-Miami-FL-33137/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28" hidden="0" customWidth="1"/>
    <x:col min="4" max="4" width="75" hidden="0" customWidth="1"/>
    <x:col min="5" max="5" width="60" hidden="0" customWidth="1"/>
  </x:cols>
  <x:sheetData>
    <x:row r="1" ht="28" customHeight="1">
      <x:c r="A1" s="4" t="str">
        <x:v>Exclusions</x:v>
      </x:c>
      <x:c r="B1" s="4"/>
      <x:c r="C1" s="4"/>
      <x:c r="D1" s="4"/>
      <x:c r="E1" s="4"/>
    </x:row>
    <x:row r="2" ht="30" customHeight="1">
      <x:c r="A2" s="9" t="str">
        <x:v>Items retained outside the primary queue because they do not meet active-sale, conventional-multifamily, or regulatory-clearance requirements.</x:v>
      </x:c>
      <x:c r="B2" s="9"/>
      <x:c r="C2" s="9"/>
      <x:c r="D2" s="9"/>
      <x:c r="E2" s="9"/>
    </x:row>
    <x:row r="4">
      <x:c r="A4" s="24" t="str">
        <x:v>Lead ID</x:v>
      </x:c>
      <x:c r="B4" s="35" t="str">
        <x:v>Asset / Group</x:v>
      </x:c>
      <x:c r="C4" s="35" t="str">
        <x:v>Exclusion Basis</x:v>
      </x:c>
      <x:c r="D4" s="35" t="str">
        <x:v>Observed Reason</x:v>
      </x:c>
      <x:c r="E4" s="25" t="str">
        <x:v>Source URL</x:v>
      </x:c>
    </x:row>
    <x:row r="5" ht="46" customHeight="1">
      <x:c r="A5" s="26" t="str">
        <x:v>CHI-002</x:v>
      </x:c>
      <x:c r="B5" s="36" t="str">
        <x:v>Kenmore East Apartments</x:v>
      </x:c>
      <x:c r="C5" s="54" t="str">
        <x:v>Current availability unverified</x:v>
      </x:c>
      <x:c r="D5" s="36" t="str">
        <x:v>Direct Tier 1 listing now says it is no longer advertised; do not treat as active sale without new exclusive mandate or broker confirmation.</x:v>
      </x:c>
      <x:c r="E5" s="27" t="str">
        <x:v>https://www.loopnet.com/Listing/5417-N-Kenmore-Ave-Chicago-IL/40025034/</x:v>
      </x:c>
    </x:row>
    <x:row r="6" ht="46" customHeight="1">
      <x:c r="A6" s="26" t="str">
        <x:v>FL-X01</x:v>
      </x:c>
      <x:c r="B6" s="36" t="str">
        <x:v>Sunshine, 4110 NW 22nd Ave.; 2629 NW 17th Ave.</x:v>
      </x:c>
      <x:c r="C6" s="54" t="str">
        <x:v>Product mismatch</x:v>
      </x:c>
      <x:c r="D6" s="36" t="str">
        <x:v>Under-construction/mixed-use project and high-density redevelopment/workforce-housing play.</x:v>
      </x:c>
      <x:c r="E6" s="27" t="str"/>
    </x:row>
    <x:row r="7" ht="46" customHeight="1">
      <x:c r="A7" s="26" t="str">
        <x:v>LA-X01</x:v>
      </x:c>
      <x:c r="B7" s="36" t="str">
        <x:v>4186 S. Western Ave.; 1350 W. Court St.; The Peake; 5110 N. Bakman Ave.</x:v>
      </x:c>
      <x:c r="C7" s="54" t="str">
        <x:v>Regulatory restriction</x:v>
      </x:c>
      <x:c r="D7" s="36" t="str">
        <x:v>Restricted-affordable or uncleared TOC/HCA characteristics.</x:v>
      </x:c>
      <x:c r="E7" s="27" t="str"/>
    </x:row>
    <x:row r="8" ht="46" customHeight="1">
      <x:c r="A8" s="26" t="str">
        <x:v>LA-X02</x:v>
      </x:c>
      <x:c r="B8" s="36" t="str">
        <x:v>The Centennial; Metropolitan Building</x:v>
      </x:c>
      <x:c r="C8" s="54" t="str">
        <x:v>RSO / affordable</x:v>
      </x:c>
      <x:c r="D8" s="36" t="str">
        <x:v>Public evidence identifies affordable or RSO constraints.</x:v>
      </x:c>
      <x:c r="E8" s="27" t="str"/>
    </x:row>
    <x:row r="9" ht="46" customHeight="1">
      <x:c r="A9" s="26" t="str">
        <x:v>PHI-X01</x:v>
      </x:c>
      <x:c r="B9" s="36" t="str">
        <x:v>3207 Spring Garden; 4210–4216 Chestnut; 4200 Ludlow; 4042/4046–48 Chestnut</x:v>
      </x:c>
      <x:c r="C9" s="54" t="str">
        <x:v>Student housing</x:v>
      </x:c>
      <x:c r="D9" s="36" t="str">
        <x:v>Student-housing / rent-by-bed characteristics.</x:v>
      </x:c>
      <x:c r="E9" s="27" t="str"/>
    </x:row>
    <x:row r="10" ht="46" customHeight="1">
      <x:c r="A10" s="28" t="str">
        <x:v>PHI-X02</x:v>
      </x:c>
      <x:c r="B10" s="37" t="str">
        <x:v>220–250 S. 5th St.</x:v>
      </x:c>
      <x:c r="C10" s="55" t="str">
        <x:v>Development land</x:v>
      </x:c>
      <x:c r="D10" s="37" t="str">
        <x:v>Land/development opportunity, not an existing conventional-rental acquisition.</x:v>
      </x:c>
      <x:c r="E10" s="29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  <x:col min="3" max="3" width="22" hidden="0" customWidth="1"/>
    <x:col min="4" max="4" width="48" hidden="0" customWidth="1"/>
  </x:cols>
  <x:sheetData>
    <x:row r="1" ht="28" customHeight="1">
      <x:c r="A1" s="4" t="str">
        <x:v>Coverage &amp; Sources</x:v>
      </x:c>
      <x:c r="B1" s="4"/>
      <x:c r="C1" s="4"/>
      <x:c r="D1" s="4"/>
    </x:row>
    <x:row r="2" ht="30" customHeight="1">
      <x:c r="A2" s="9" t="str">
        <x:v>Run constraints, market gaps, and source-tier operating standards.</x:v>
      </x:c>
      <x:c r="B2" s="9"/>
      <x:c r="C2" s="9"/>
      <x:c r="D2" s="9"/>
    </x:row>
    <x:row r="4">
      <x:c r="A4" s="24" t="str">
        <x:v>Topic</x:v>
      </x:c>
      <x:c r="B4" s="25" t="str">
        <x:v>Detail</x:v>
      </x:c>
    </x:row>
    <x:row r="5" ht="45" customHeight="1">
      <x:c r="A5" s="26" t="str">
        <x:v>Coverage limitation</x:v>
      </x:c>
      <x:c r="B5" s="27" t="str">
        <x:v>Targeted public-source research only; not universal listing coverage and never statewide Florida or North Carolina coverage.</x:v>
      </x:c>
    </x:row>
    <x:row r="6" ht="45" customHeight="1">
      <x:c r="A6" s="26" t="str">
        <x:v>No new qualified action lead</x:v>
      </x:c>
      <x:c r="B6" s="27" t="str">
        <x:v>NYC; named North Carolina MSAs; Tampa, Orlando, Jacksonville, Fort Myers, Naples, Sarasota, Palm Bay, Lakeland, Daytona Beach; non-screened portions of named MSAs.</x:v>
      </x:c>
    </x:row>
    <x:row r="7" ht="45" customHeight="1">
      <x:c r="A7" s="26" t="str">
        <x:v>Action threshold</x:v>
      </x:c>
      <x:c r="B7" s="27" t="str">
        <x:v>Only 85+ priority and 75–84 qualified leads are in Action Queue. Scores above 69 need Tier 1 evidence or two independent Tier 2 sources.</x:v>
      </x:c>
    </x:row>
    <x:row r="8" ht="45" customHeight="1">
      <x:c r="A8" s="28" t="str">
        <x:v>Outreach control</x:v>
      </x:c>
      <x:c r="B8" s="29" t="str">
        <x:v>No outreach drafted, queued, scheduled, implied, or sent. Explicit approval of named IDs is required for this run.</x:v>
      </x:c>
    </x:row>
    <x:row r="10">
      <x:c r="A10" s="38" t="str">
        <x:v>Source-tier hierarchy</x:v>
      </x:c>
      <x:c r="B10" s="38"/>
      <x:c r="C10" s="38"/>
      <x:c r="D10" s="38"/>
    </x:row>
    <x:row r="11">
      <x:c r="A11" s="24" t="str">
        <x:v>Tier</x:v>
      </x:c>
      <x:c r="B11" s="35" t="str">
        <x:v>Permitted Source Type</x:v>
      </x:c>
      <x:c r="C11" s="35" t="str">
        <x:v>Use</x:v>
      </x:c>
      <x:c r="D11" s="25" t="str">
        <x:v>Promotion Standard</x:v>
      </x:c>
    </x:row>
    <x:row r="12" ht="52" customHeight="1">
      <x:c r="A12" s="26" t="str">
        <x:v>Tier 1</x:v>
      </x:c>
      <x:c r="B12" s="36" t="str">
        <x:v>Direct broker/owner/lender/receiver/servicer/auction listing, OM, dated/price/named-contact MLS, public court/recorder/CMBS/servicer records</x:v>
      </x:c>
      <x:c r="C12" s="36" t="str">
        <x:v>Decision evidence</x:v>
      </x:c>
      <x:c r="D12" s="27" t="str">
        <x:v>Required for top-scoring direct evidence where available</x:v>
      </x:c>
    </x:row>
    <x:row r="13" ht="52" customHeight="1">
      <x:c r="A13" s="26" t="str">
        <x:v>Tier 2</x:v>
      </x:c>
      <x:c r="B13" s="36" t="str">
        <x:v>SEC filings, broker announcements, credible CRE trade press, public sponsor/lender communication</x:v>
      </x:c>
      <x:c r="C13" s="36" t="str">
        <x:v>Corroboration</x:v>
      </x:c>
      <x:c r="D13" s="27" t="str">
        <x:v>Two independent sources can support a score above 69</x:v>
      </x:c>
    </x:row>
    <x:row r="14" ht="52" customHeight="1">
      <x:c r="A14" s="28" t="str">
        <x:v>Tier 3</x:v>
      </x:c>
      <x:c r="B14" s="37" t="str">
        <x:v>Discovery-only sources</x:v>
      </x:c>
      <x:c r="C14" s="37" t="str">
        <x:v>Lead discovery</x:v>
      </x:c>
      <x:c r="D14" s="29" t="str">
        <x:v>Never sufficient for promotion</x:v>
      </x:c>
    </x:row>
  </x:sheetData>
  <x:mergeCells>
    <x:mergeCell ref="A1:D1"/>
    <x:mergeCell ref="A2:D2"/>
    <x:mergeCell ref="A10:D10"/>
  </x:mergeCells>
  <x:pageMargins left="0.7" right="0.7" top="0.75" bottom="0.75" header="0.3" footer="0.3"/>
</x:worksheet>
</file>