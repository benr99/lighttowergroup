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b5877e66244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 2026-09-06" sheetId="1" r:id="Rb9c8eaa40a8c4da0"/>
    <x:sheet xmlns:r="http://schemas.openxmlformats.org/officeDocument/2006/relationships" name="Run 2026-09-07" sheetId="2" r:id="R043b7a68d12741cd"/>
    <x:sheet xmlns:r="http://schemas.openxmlformats.org/officeDocument/2006/relationships" name="Run 2026-09-08" sheetId="3" r:id="R22a192a9d15f40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&quot;$&quot;#,##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02A4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02A43"/>
      <x:name val="Carlito"/>
    </x:font>
    <x:font>
      <x:b/>
      <x:sz val="14"/>
      <x:color rgb="FF17365D"/>
      <x:name val="Arial"/>
    </x:font>
    <x:font>
      <x:i/>
      <x:sz val="10"/>
      <x:color rgb="FF555555"/>
      <x:name val="Arial"/>
    </x:font>
    <x:font>
      <x:b/>
      <x:sz val="10"/>
      <x:color rgb="FF17365D"/>
      <x:name val="Arial"/>
    </x:font>
    <x:font>
      <x:sz val="10"/>
      <x:color rgb="FF1F1F1F"/>
      <x:name val="Arial"/>
    </x:font>
    <x:font>
      <x:b/>
      <x:sz val="11"/>
      <x:color rgb="FF17365D"/>
      <x:name val="Arial"/>
    </x:font>
    <x:font>
      <x:b/>
      <x:sz val="9"/>
      <x:color rgb="FFFFFFFF"/>
      <x:name val="Arial"/>
    </x:font>
  </x:fonts>
  <x:fills count="22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486581"/>
      </x:patternFill>
    </x:fill>
    <x:fill>
      <x:patternFill patternType="solid">
        <x:fgColor rgb="FFF3F4F6"/>
      </x:patternFill>
    </x:fill>
    <x:fill>
      <x:patternFill patternType="solid">
        <x:fgColor rgb="FFD9EAD3"/>
      </x:patternFill>
    </x:fill>
    <x:fill>
      <x:patternFill patternType="solid">
        <x:fgColor rgb="FF8A6D1D"/>
      </x:patternFill>
    </x:fill>
    <x:fill>
      <x:patternFill patternType="solid">
        <x:fgColor rgb="FFFFF2CC"/>
      </x:patternFill>
    </x:fill>
    <x:fill>
      <x:patternFill patternType="solid">
        <x:fgColor rgb="FF9B3A1D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AF3F8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</x:fills>
  <x:borders count="11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horizontal="center" vertical="top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200" fontId="0" fillId="0" borderId="7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201" fontId="4" fillId="6" borderId="7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7" xfId="0" applyNumberFormat="1" applyFont="1" applyFill="1" applyBorder="1"/>
    <x:xf numFmtId="0" fontId="5" fillId="8" borderId="7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horizontal="center" vertical="top" wrapText="1"/>
    </x:xf>
    <x:xf numFmtId="0" fontId="4" fillId="8" borderId="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7" xfId="0" applyNumberFormat="1" applyFont="1" applyFill="1" applyBorder="1"/>
    <x:xf numFmtId="0" fontId="5" fillId="10" borderId="7" xfId="0" applyNumberFormat="1" applyFont="1" applyFill="1" applyBorder="1" applyAlignment="1">
      <x:alignment wrapText="1"/>
    </x:xf>
    <x:xf numFmtId="0" fontId="5" fillId="10" borderId="7" xfId="0" applyNumberFormat="1" applyFont="1" applyFill="1" applyBorder="1" applyAlignment="1">
      <x:alignment vertical="center" wrapText="1"/>
    </x:xf>
    <x:xf numFmtId="0" fontId="0" fillId="10" borderId="7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0" fontId="2" fillId="5" borderId="1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wrapText="1"/>
    </x:xf>
    <x:xf numFmtId="0" fontId="7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0" xfId="0" applyNumberFormat="1" applyFont="1" applyFill="1" applyBorder="1" applyAlignment="1">
      <x:alignment wrapText="1"/>
    </x:xf>
    <x:xf numFmtId="0" fontId="11" fillId="16" borderId="0" xfId="0" applyNumberFormat="1" applyFont="1" applyFill="1" applyBorder="1" applyAlignment="1">
      <x:alignment horizontal="center" wrapText="1"/>
    </x:xf>
    <x:xf numFmtId="0" fontId="11" fillId="16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202" fontId="9" fillId="0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201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202" fontId="9" fillId="0" borderId="0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8" fillId="17" borderId="0" xfId="0" applyNumberFormat="1" applyFont="1" applyFill="1" applyBorder="1"/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0" fillId="19" borderId="0" xfId="0" applyNumberFormat="1" applyFont="1" applyFill="1" applyBorder="1"/>
    <x:xf numFmtId="0" fontId="10" fillId="19" borderId="0" xfId="0" applyNumberFormat="1" applyFont="1" applyFill="1" applyBorder="1"/>
    <x:xf numFmtId="0" fontId="0" fillId="20" borderId="0" xfId="0" applyNumberFormat="1" applyFont="1" applyFill="1" applyBorder="1"/>
    <x:xf numFmtId="0" fontId="10" fillId="20" borderId="0" xfId="0" applyNumberFormat="1" applyFont="1" applyFill="1" applyBorder="1"/>
    <x:xf numFmtId="0" fontId="7" fillId="17" borderId="0" xfId="0" applyNumberFormat="1" applyFont="1" applyFill="1" applyBorder="1"/>
    <x:xf numFmtId="0" fontId="7" fillId="17" borderId="0" xfId="0" applyNumberFormat="1" applyFont="1" applyFill="1" applyBorder="1" applyAlignment="1">
      <x:alignment wrapText="1"/>
    </x:xf>
    <x:xf numFmtId="0" fontId="7" fillId="17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11" fillId="21" borderId="0" xfId="0" applyNumberFormat="1" applyFont="1" applyFill="1" applyBorder="1"/>
    <x:xf numFmtId="0" fontId="11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horizontal="center" wrapText="1"/>
    </x:xf>
    <x:xf numFmtId="0" fontId="11" fillId="21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1F1F1F"/>
      </x:font>
      <x:fill>
        <x:patternFill>
          <x:bgColor rgb="FFE2F0D9"/>
        </x:patternFill>
      </x:fill>
    </x:dxf>
    <x:dxf>
      <x:font>
        <x:b/>
        <x:color rgb="FF1F1F1F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afed3232944a37" /><Relationship Type="http://schemas.openxmlformats.org/officeDocument/2006/relationships/theme" Target="/xl/theme/theme1.xml" Id="R1a61683ddc0c4b60" /><Relationship Type="http://schemas.openxmlformats.org/officeDocument/2006/relationships/sharedStrings" Target="/xl/sharedStrings.xml" Id="Ra9bf5775dd5d44bb" /><Relationship Type="http://schemas.openxmlformats.org/officeDocument/2006/relationships/worksheet" Target="/xl/worksheets/sheet1.xml" Id="Rb9c8eaa40a8c4da0" /><Relationship Type="http://schemas.openxmlformats.org/officeDocument/2006/relationships/worksheet" Target="/xl/worksheets/sheet2.xml" Id="R043b7a68d12741cd" /><Relationship Type="http://schemas.openxmlformats.org/officeDocument/2006/relationships/worksheet" Target="/xl/worksheets/sheet3.xml" Id="R22a192a9d15f4025" /></Relationships>
</file>

<file path=xl/tables/table1.xml><?xml version="1.0" encoding="utf-8"?>
<x:table xmlns:x="http://schemas.openxmlformats.org/spreadsheetml/2006/main" id="1" name="ActionQueue20260907" displayName="ActionQueue20260907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Listing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tch20260907" displayName="Watch20260907" ref="A17:F32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Exclusions20260907" displayName="Exclusions20260907" ref="A35:C4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4.xml><?xml version="1.0" encoding="utf-8"?>
<x:table xmlns:x="http://schemas.openxmlformats.org/spreadsheetml/2006/main" id="4" name="ActionQueue20260908" displayName="ActionQueue20260908" ref="A9:U16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atch20260908" displayName="Watch20260908" ref="A19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Exclusions20260908" displayName="Exclusions20260908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ebbad431704885" /><Relationship Type="http://schemas.openxmlformats.org/officeDocument/2006/relationships/table" Target="/xl/tables/table2.xml" Id="R7f0a6a486c5e4c9d" /><Relationship Type="http://schemas.openxmlformats.org/officeDocument/2006/relationships/table" Target="/xl/tables/table3.xml" Id="R5cc4bfa089dd47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e599cb2c7f784e79" /><Relationship Type="http://schemas.openxmlformats.org/officeDocument/2006/relationships/table" Target="/xl/tables/table5.xml" Id="Rd6acb7a008784f42" /><Relationship Type="http://schemas.openxmlformats.org/officeDocument/2006/relationships/table" Target="/xl/tables/table6.xml" Id="Rd12e769f602541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34" hidden="0" customWidth="1"/>
    <x:col min="5" max="5" width="9" hidden="0" customWidth="1"/>
    <x:col min="6" max="6" width="31" hidden="0" customWidth="1"/>
    <x:col min="7" max="7" width="42" hidden="0" customWidth="1"/>
    <x:col min="8" max="8" width="34" hidden="0" customWidth="1"/>
    <x:col min="9" max="9" width="35" hidden="0" customWidth="1"/>
    <x:col min="10" max="10" width="8" hidden="0" customWidth="1"/>
    <x:col min="11" max="11" width="8" hidden="0" customWidth="1"/>
    <x:col min="12" max="12" width="8" hidden="0" customWidth="1"/>
    <x:col min="13" max="13" width="10" hidden="0" customWidth="1"/>
    <x:col min="14" max="14" width="10" hidden="0" customWidth="1"/>
    <x:col min="15" max="15" width="9" hidden="0" customWidth="1"/>
    <x:col min="16" max="16" width="9" hidden="0" customWidth="1"/>
    <x:col min="17" max="17" width="43" hidden="0" customWidth="1"/>
    <x:col min="18" max="18" width="34" hidden="0" customWidth="1"/>
    <x:col min="19" max="19" width="34" hidden="0" customWidth="1"/>
  </x:cols>
  <x:sheetData>
    <x:row r="1" ht="30" customHeight="1">
      <x:c r="A1" s="3" t="str">
        <x:v>Light Tower Group — Daily $10M+ Multifamily Sale &amp; Capital Opportunity Engine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2" customHeight="1">
      <x:c r="A2" s="6" t="str">
        <x:v>Run date: September 6, 2026 (America/New_York)  |  Report-only  |  Targeted public-source sweep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>
      <x:c r="A4" s="9" t="str">
        <x:v>Executive readout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</x:row>
    <x:row r="5" ht="30" customHeight="1">
      <x:c r="A5" s="23" t="str">
        <x:v>New: PHI-009 International City Apartments is a 1,068-unit Philadelphia MSA sale process reported independently on August 31 and September 1; the verified 2019 portfolio value was $141M, but the current asking price is undisclosed. Continuing LA-011 Park.1915, LA-012 The Palms, LA-010 3675 Dunn Drive, and CHI-004 Washington Plaza remain publicly available. New Van Nuys 68-unit listing is Watch only because its market date is not published. No prospect outreach was drafted, queued, scheduled, implied, or sent. Coverage is targeted public-source research in named MSAs only—never universal coverage.</x:v>
      </x:c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5"/>
    </x:row>
    <x:row r="6" ht="30" customHeight="1">
      <x:c r="A6" s="26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8"/>
    </x:row>
    <x:row r="8">
      <x:c r="A8" s="30" t="str">
        <x:v>Action queue — 85+ priority and 75–84 qualified only</x:v>
      </x:c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</x:row>
    <x:row r="9" ht="34" customHeight="1">
      <x:c r="A9" s="34" t="str">
        <x:v>Lead ID</x:v>
      </x:c>
      <x:c r="B9" s="34" t="str">
        <x:v>Classification</x:v>
      </x:c>
      <x:c r="C9" s="34" t="str">
        <x:v>$10M Gate</x:v>
      </x:c>
      <x:c r="D9" s="34" t="str">
        <x:v>Asset / Address / MSA</x:v>
      </x:c>
      <x:c r="E9" s="34" t="str">
        <x:v>Units</x:v>
      </x:c>
      <x:c r="F9" s="34" t="str">
        <x:v>Owner / Sponsor / Lender / Broker</x:v>
      </x:c>
      <x:c r="G9" s="34" t="str">
        <x:v>Observed facts</x:v>
      </x:c>
      <x:c r="H9" s="34" t="str">
        <x:v>Inference</x:v>
      </x:c>
      <x:c r="I9" s="34" t="str">
        <x:v>Counterargument</x:v>
      </x:c>
      <x:c r="J9" s="34" t="str">
        <x:v>Sale</x:v>
      </x:c>
      <x:c r="K9" s="34" t="str">
        <x:v>Capital</x:v>
      </x:c>
      <x:c r="L9" s="34" t="str">
        <x:v>Fit</x:v>
      </x:c>
      <x:c r="M9" s="34" t="str">
        <x:v>Execution</x:v>
      </x:c>
      <x:c r="N9" s="34" t="str">
        <x:v>Evidence</x:v>
      </x:c>
      <x:c r="O9" s="34" t="str">
        <x:v>Contact</x:v>
      </x:c>
      <x:c r="P9" s="34" t="str">
        <x:v>Score</x:v>
      </x:c>
      <x:c r="Q9" s="34" t="str">
        <x:v>Tier / source / date</x:v>
      </x:c>
      <x:c r="R9" s="34" t="str">
        <x:v>Verified public contact</x:v>
      </x:c>
      <x:c r="S9" s="34" t="str">
        <x:v>Light Tower angle</x:v>
      </x:c>
    </x:row>
    <x:row r="10" ht="96" customHeight="1">
      <x:c r="A10" s="38" t="str">
        <x:v>PHI-009</x:v>
      </x:c>
      <x:c r="B10" s="38" t="str">
        <x:v>Pre-Marketing / Quiet Sale</x:v>
      </x:c>
      <x:c r="C10" s="38" t="str">
        <x:v>$141M verified 2019 portfolio value; current ask undisclosed</x:v>
      </x:c>
      <x:c r="D10" s="37" t="str">
        <x:v>International City Apartments, 7900 &amp; 8400 Lindbergh Blvd, Philadelphia, PA 19153 | Philadelphia MSA</x:v>
      </x:c>
      <x:c r="E10" s="42" t="n">
        <x:v>1068</x:v>
      </x:c>
      <x:c r="F10" s="37" t="str">
        <x:v>AJH Management (seller); Newmark sale team: Carl Fiebig, Erin Miller, Maura Kate Spellman, Chris Koehler, Marybeth Farris, Griffin McGovern</x:v>
      </x:c>
      <x:c r="G10" s="37" t="str">
        <x:v>New: two independent Tier 2 reports (Aug. 31 and Sept. 1) state AJH has put the 1,068-unit, 64-building conventional apartment complex on the market; 2019 acquisition value was $141M and Newmark is marketing a value-add sale process.</x:v>
      </x:c>
      <x:c r="H10" s="37" t="str">
        <x:v>Large, current sale process supports sale advisory, buyer financing, bridge / preferred equity, recapitalization, or seller/lender dialogue.</x:v>
      </x:c>
      <x:c r="I10" s="37" t="str">
        <x:v>No public current asking price or OM; confirm seller authority, current bidding process, rent restrictions / subsidy exposure, tax abatement, T-12, and capital plan before engagement.</x:v>
      </x:c>
      <x:c r="J10" s="43" t="n">
        <x:v>32</x:v>
      </x:c>
      <x:c r="K10" s="43" t="n">
        <x:v>0</x:v>
      </x:c>
      <x:c r="L10" s="43" t="n">
        <x:v>15</x:v>
      </x:c>
      <x:c r="M10" s="43" t="n">
        <x:v>9</x:v>
      </x:c>
      <x:c r="N10" s="43" t="n">
        <x:v>15</x:v>
      </x:c>
      <x:c r="O10" s="43" t="n">
        <x:v>5</x:v>
      </x:c>
      <x:c r="P10" s="44" t="n">
        <x:f>SUM(J10:O10)</x:f>
        <x:v>76</x:v>
      </x:c>
      <x:c r="Q10" s="37" t="str">
        <x:v>Tier 2 Bisnow (2026-08-31) + Private Real Estate Daily (2026-09-01); Newmark contact verification | https://www.bisnow.com/news/philadelphia/multifamily/largest-apartment-complex-for-sale-international-city ; https://www.nmrk.com/people/carl-fiebig</x:v>
      </x:c>
      <x:c r="R10" s="37" t="str">
        <x:v>Carl Fiebig, Newmark | 215-470-5826 | Carl.Fiebig@nmrk.com; Erin Miller, Newmark | Erin.Miller@nmrk.com</x:v>
      </x:c>
      <x:c r="S10" s="37" t="str">
        <x:v>Sale advisory; buyer financing; bridge / preferred equity; recapitalization; lender dialogue</x:v>
      </x:c>
    </x:row>
    <x:row r="11" ht="96" customHeight="1">
      <x:c r="A11" s="38" t="str">
        <x:v>LA-011</x:v>
      </x:c>
      <x:c r="B11" s="38" t="str">
        <x:v>Active Sale</x:v>
      </x:c>
      <x:c r="C11" s="38" t="str">
        <x:v>$18.0M asking</x:v>
      </x:c>
      <x:c r="D11" s="37" t="str">
        <x:v>Park.1915, 1915 Park Ave, Los Angeles, CA 90026 | Los Angeles MSA</x:v>
      </x:c>
      <x:c r="E11" s="42" t="n">
        <x:v>36</x:v>
      </x:c>
      <x:c r="F11" s="37" t="str">
        <x:v>Marcus &amp; Millichap | Neema Ahadian, Jeffrey Estrada; owner/sponsor (CIM) not independently verified</x:v>
      </x:c>
      <x:c r="G11" s="37" t="str">
        <x:v>Continuing Tier 1 exclusive: 36-unit conventional apartment asset completed 2025; $18.0M ask; 4.52% cap; live listing dated 2026-08-17 and currently available Sept. 6.</x:v>
      </x:c>
      <x:c r="H11" s="37" t="str">
        <x:v>Fresh conventional marketing supports acquisition-sale advisory, buyer financing, senior refinance or recapitalization.</x:v>
      </x:c>
      <x:c r="I11" s="37" t="str">
        <x:v>Confirm rent roll, seller authority, occupancy, and any project-level affordability covenant before engagement.</x:v>
      </x:c>
      <x:c r="J11" s="43" t="n">
        <x:v>35</x:v>
      </x:c>
      <x:c r="K11" s="43" t="n">
        <x:v>0</x:v>
      </x:c>
      <x:c r="L11" s="43" t="n">
        <x:v>15</x:v>
      </x:c>
      <x:c r="M11" s="43" t="n">
        <x:v>9</x:v>
      </x:c>
      <x:c r="N11" s="43" t="n">
        <x:v>15</x:v>
      </x:c>
      <x:c r="O11" s="43" t="n">
        <x:v>5</x:v>
      </x:c>
      <x:c r="P11" s="44" t="n">
        <x:f>SUM(J11:O11)</x:f>
        <x:v>79</x:v>
      </x:c>
      <x:c r="Q11" s="37" t="str">
        <x:v>Tier 1 M&amp;M exclusive + Tier 1 LoopNet | observed 2026-09-06 / listed 2026-08-17 | https://www.marcusmillichap.com/properties/304677/park1915</x:v>
      </x:c>
      <x:c r="R11" s="37" t="str">
        <x:v>Neema Ahadian | (310) 909-5444; Jeffrey Estrada | (310) 909-5423</x:v>
      </x:c>
      <x:c r="S11" s="37" t="str">
        <x:v>Buyer financing; acquisition-sale advisory; senior refinance / recap</x:v>
      </x:c>
    </x:row>
    <x:row r="12" ht="96" customHeight="1">
      <x:c r="A12" s="38" t="str">
        <x:v>LA-012</x:v>
      </x:c>
      <x:c r="B12" s="38" t="str">
        <x:v>Active Sale</x:v>
      </x:c>
      <x:c r="C12" s="38" t="str">
        <x:v>$14.95M asking</x:v>
      </x:c>
      <x:c r="D12" s="37" t="str">
        <x:v>The Palms, 3929 W 242nd St, Torrance, CA 90505 | Los Angeles MSA</x:v>
      </x:c>
      <x:c r="E12" s="42" t="n">
        <x:v>48</x:v>
      </x:c>
      <x:c r="F12" s="37" t="str">
        <x:v>Marcus &amp; Millichap | Tyler Leeson; owner not independently verified</x:v>
      </x:c>
      <x:c r="G12" s="37" t="str">
        <x:v>Continuing Tier 1 exclusive / current MLS: 48-unit conventional garden apartment asset built 1961; $14.95M ask; 5.36% cap; listed 2026-08-17 and repriced 2026-08-24. Public MLS page says for sale and was rechecked Sept. 6.</x:v>
      </x:c>
      <x:c r="H12" s="37" t="str">
        <x:v>Fresh, price-adjusted marketing supports acquisition-sale advisory, buyer financing, senior refinance or recapitalization.</x:v>
      </x:c>
      <x:c r="I12" s="37" t="str">
        <x:v>City source indicates no permanent local RSO, but confirm state-law applicability, project covenants, rent roll, seller authority, and renovation claims before engagement.</x:v>
      </x:c>
      <x:c r="J12" s="43" t="n">
        <x:v>35</x:v>
      </x:c>
      <x:c r="K12" s="43" t="n">
        <x:v>0</x:v>
      </x:c>
      <x:c r="L12" s="43" t="n">
        <x:v>13</x:v>
      </x:c>
      <x:c r="M12" s="43" t="n">
        <x:v>9</x:v>
      </x:c>
      <x:c r="N12" s="43" t="n">
        <x:v>15</x:v>
      </x:c>
      <x:c r="O12" s="43" t="n">
        <x:v>5</x:v>
      </x:c>
      <x:c r="P12" s="44" t="n">
        <x:f>SUM(J12:O12)</x:f>
        <x:v>77</x:v>
      </x:c>
      <x:c r="Q12" s="37" t="str">
        <x:v>Tier 1 M&amp;M exclusive + current MLS corroboration | observed 2026-09-06 | https://www.redfin.com/CA/Torrance/3929-W-242nd-St-90505/home/7720293</x:v>
      </x:c>
      <x:c r="R12" s="37" t="str">
        <x:v>Tyler Leeson | (949) 419-3326 | tleeson@marcusmillichap.com</x:v>
      </x:c>
      <x:c r="S12" s="37" t="str">
        <x:v>Buyer financing; acquisition-sale advisory; value-add senior refinance / recap</x:v>
      </x:c>
    </x:row>
    <x:row r="13" ht="96" customHeight="1">
      <x:c r="A13" s="38" t="str">
        <x:v>LA-010</x:v>
      </x:c>
      <x:c r="B13" s="38" t="str">
        <x:v>Active Sale</x:v>
      </x:c>
      <x:c r="C13" s="38" t="str">
        <x:v>$15.95M asking</x:v>
      </x:c>
      <x:c r="D13" s="37" t="str">
        <x:v>3675 Dunn Drive, Los Angeles, CA 90034 | Los Angeles MSA</x:v>
      </x:c>
      <x:c r="E13" s="42" t="n">
        <x:v>18</x:v>
      </x:c>
      <x:c r="F13" s="37" t="str">
        <x:v>KW Commercial | Alex Galuz; owner not independently verified</x:v>
      </x:c>
      <x:c r="G13" s="37" t="str">
        <x:v>Continuing Tier 1 listing: 2019 Class A, 18-unit apartment property; $15.95M ask; dated 2026-08-03; currently available Sept. 6.</x:v>
      </x:c>
      <x:c r="H13" s="37" t="str">
        <x:v>Live marketing supports buyer financing, acquisition-sale advisory, or senior refinance / recap.</x:v>
      </x:c>
      <x:c r="I13" s="37" t="str">
        <x:v>Confirm current seller authority, rent roll / cap-rate assumptions, and any recorded affordability covenant before engagement.</x:v>
      </x:c>
      <x:c r="J13" s="43" t="n">
        <x:v>35</x:v>
      </x:c>
      <x:c r="K13" s="43" t="n">
        <x:v>0</x:v>
      </x:c>
      <x:c r="L13" s="43" t="n">
        <x:v>15</x:v>
      </x:c>
      <x:c r="M13" s="43" t="n">
        <x:v>9</x:v>
      </x:c>
      <x:c r="N13" s="43" t="n">
        <x:v>15</x:v>
      </x:c>
      <x:c r="O13" s="43" t="n">
        <x:v>5</x:v>
      </x:c>
      <x:c r="P13" s="44" t="n">
        <x:f>SUM(J13:O13)</x:f>
        <x:v>79</x:v>
      </x:c>
      <x:c r="Q13" s="37" t="str">
        <x:v>Tier 1 direct listing | observed 2026-09-06 | https://www.loopnet.com/Listing/3675-Dunn-Dr-Los-Angeles-CA/41534752/</x:v>
      </x:c>
      <x:c r="R13" s="37" t="str">
        <x:v>Alex Galuz, KW Commercial | +1 310-466-0888</x:v>
      </x:c>
      <x:c r="S13" s="37" t="str">
        <x:v>Buyer financing; acquisition-sale advisory; senior refinance / recap</x:v>
      </x:c>
    </x:row>
    <x:row r="14" ht="96" customHeight="1">
      <x:c r="A14" s="38" t="str">
        <x:v>CHI-004</x:v>
      </x:c>
      <x:c r="B14" s="38" t="str">
        <x:v>Active Sale</x:v>
      </x:c>
      <x:c r="C14" s="38" t="str">
        <x:v>$12.0M asking</x:v>
      </x:c>
      <x:c r="D14" s="37" t="str">
        <x:v>Washington Plaza, 5501 W Washington Blvd, Chicago, IL 60644 | Chicago MSA</x:v>
      </x:c>
      <x:c r="E14" s="42" t="n">
        <x:v>172</x:v>
      </x:c>
      <x:c r="F14" s="37" t="str">
        <x:v>33 Realty | Brian Mond and George Benitez; owner not independently verified</x:v>
      </x:c>
      <x:c r="G14" s="37" t="str">
        <x:v>Continuing Tier 1 listing currently available Sept. 6: 172 apartments; $12.0M ask; 98% stated occupancy; listed 2026-07-22.</x:v>
      </x:c>
      <x:c r="H14" s="37" t="str">
        <x:v>Live marketing supports buyer financing, acquisition-sale advisory, or value-add senior refinance / recap.</x:v>
      </x:c>
      <x:c r="I14" s="37" t="str">
        <x:v>Confirm subsidy contracts, deferred maintenance, seller authority, and rent-roll quality before engagement.</x:v>
      </x:c>
      <x:c r="J14" s="43" t="n">
        <x:v>35</x:v>
      </x:c>
      <x:c r="K14" s="43" t="n">
        <x:v>0</x:v>
      </x:c>
      <x:c r="L14" s="43" t="n">
        <x:v>14</x:v>
      </x:c>
      <x:c r="M14" s="43" t="n">
        <x:v>9</x:v>
      </x:c>
      <x:c r="N14" s="43" t="n">
        <x:v>15</x:v>
      </x:c>
      <x:c r="O14" s="43" t="n">
        <x:v>5</x:v>
      </x:c>
      <x:c r="P14" s="44" t="n">
        <x:f>SUM(J14:O14)</x:f>
        <x:v>78</x:v>
      </x:c>
      <x:c r="Q14" s="37" t="str">
        <x:v>Tier 1 direct listing | observed 2026-09-06 | https://www.loopnet.com/Listing/5501-W-Washington-Blvd-Chicago-IL/41395207/</x:v>
      </x:c>
      <x:c r="R14" s="37" t="str">
        <x:v>Brian Mond | +1 773-615-2626; George Benitez | +1 239-443-0768</x:v>
      </x:c>
      <x:c r="S14" s="37" t="str">
        <x:v>Buyer financing; acquisition-sale advisory; senior refinance</x:v>
      </x:c>
    </x:row>
    <x:row r="16">
      <x:c r="A16" s="47" t="str">
        <x:v>Watch — 65–74; not actionable until the precise verification step below is completed</x:v>
      </x:c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</x:row>
    <x:row r="17">
      <x:c r="A17" s="52" t="str">
        <x:v>Lead</x:v>
      </x:c>
      <x:c r="B17" s="52" t="str">
        <x:v>Classification</x:v>
      </x:c>
      <x:c r="C17" s="52" t="str">
        <x:v>Score</x:v>
      </x:c>
      <x:c r="D17" s="52" t="str">
        <x:v>Reason held</x:v>
      </x:c>
      <x:c r="E17" s="52" t="str">
        <x:v>Concrete next verification step</x:v>
      </x:c>
    </x:row>
    <x:row r="18" ht="42" customHeight="1">
      <x:c r="A18" s="37" t="str">
        <x:v>LA-014 — 13724 Victory Blvd.</x:v>
      </x:c>
      <x:c r="B18" s="37" t="str">
        <x:v>Watch</x:v>
      </x:c>
      <x:c r="C18" s="56" t="n">
        <x:v>73</x:v>
      </x:c>
      <x:c r="D18" s="37" t="str">
        <x:v>Direct broker site reports a current $22.9M / 68-unit / 2022-built conventional multifamily offering in Van Nuys, but does not publish the listing date, so the mandatory date gate is incomplete.</x:v>
      </x:c>
      <x:c r="E18" s="37" t="str">
        <x:v>Obtain a dated exclusive / MLS record, current OM, named asset-level broker, rent roll, seller authority, and covenant confirmation before promotion.</x:v>
      </x:c>
    </x:row>
    <x:row r="19" ht="42" customHeight="1">
      <x:c r="A19" s="37" t="str">
        <x:v>CHI-001 — Drexel Terraces</x:v>
      </x:c>
      <x:c r="B19" s="37" t="str">
        <x:v>Capital Event</x:v>
      </x:c>
      <x:c r="C19" s="56" t="n">
        <x:v>74</x:v>
      </x:c>
      <x:c r="D19" s="37" t="str">
        <x:v>Latest corroborated catalyst is stale.</x:v>
      </x:c>
      <x:c r="E19" s="37" t="str">
        <x:v>Pull current Cook County docket / receiver order; verify servicer, borrower, balance, and sale or workout timetable.</x:v>
      </x:c>
    </x:row>
    <x:row r="20" ht="42" customHeight="1">
      <x:c r="A20" s="37" t="str">
        <x:v>CHI-003 — 4520–26 S. Drexel Blvd.</x:v>
      </x:c>
      <x:c r="B20" s="37" t="str">
        <x:v>Capital Event</x:v>
      </x:c>
      <x:c r="C20" s="56" t="n">
        <x:v>74</x:v>
      </x:c>
      <x:c r="D20" s="37" t="str">
        <x:v>Primary foreclosure record remains unverified.</x:v>
      </x:c>
      <x:c r="E20" s="37" t="str">
        <x:v>Obtain Cook County primary docket and receiver order; then verify servicer and sale timetable.</x:v>
      </x:c>
    </x:row>
    <x:row r="21" ht="42" customHeight="1">
      <x:c r="A21" s="37" t="str">
        <x:v>FL-003 — California Club Apartments</x:v>
      </x:c>
      <x:c r="B21" s="37" t="str">
        <x:v>Watch</x:v>
      </x:c>
      <x:c r="C21" s="56" t="n">
        <x:v>74</x:v>
      </x:c>
      <x:c r="D21" s="37" t="str">
        <x:v>Current mandate and restrictions unverified.</x:v>
      </x:c>
      <x:c r="E21" s="37" t="str">
        <x:v>Obtain exclusive mandate, current OM / rent roll, named broker, and restriction confirmation.</x:v>
      </x:c>
    </x:row>
    <x:row r="22" ht="42" customHeight="1">
      <x:c r="A22" s="37" t="str">
        <x:v>FL-001 — Gables Galiano</x:v>
      </x:c>
      <x:c r="B22" s="37" t="str">
        <x:v>Watch</x:v>
      </x:c>
      <x:c r="C22" s="56" t="n">
        <x:v>73</x:v>
      </x:c>
      <x:c r="D22" s="37" t="str">
        <x:v>Extended marketing; mandate freshness uncertain.</x:v>
      </x:c>
      <x:c r="E22" s="37" t="str">
        <x:v>Obtain current broker mandate, seller intent, and price-flexibility confirmation.</x:v>
      </x:c>
    </x:row>
    <x:row r="23" ht="42" customHeight="1">
      <x:c r="A23" s="37" t="str">
        <x:v>NY-001 — 30-Unit MF Portfolio Sale</x:v>
      </x:c>
      <x:c r="B23" s="37" t="str">
        <x:v>Watch</x:v>
      </x:c>
      <x:c r="C23" s="56" t="n">
        <x:v>73</x:v>
      </x:c>
      <x:c r="D23" s="37" t="str">
        <x:v>Portfolio regulatory status and mandate unverified.</x:v>
      </x:c>
      <x:c r="E23" s="37" t="str">
        <x:v>Obtain current mandate, component-building regulatory checks, and current pricing.</x:v>
      </x:c>
    </x:row>
    <x:row r="24" ht="42" customHeight="1">
      <x:c r="A24" s="37" t="str">
        <x:v>LA-009 — 1400 Venice Blvd.</x:v>
      </x:c>
      <x:c r="B24" s="37" t="str">
        <x:v>Watch</x:v>
      </x:c>
      <x:c r="C24" s="56" t="n">
        <x:v>72</x:v>
      </x:c>
      <x:c r="D24" s="37" t="str">
        <x:v>Mandatory dated listing record absent.</x:v>
      </x:c>
      <x:c r="E24" s="37" t="str">
        <x:v>Obtain a dated exclusive / MLS record, current availability, and OM.</x:v>
      </x:c>
    </x:row>
    <x:row r="25" ht="42" customHeight="1">
      <x:c r="A25" s="37" t="str">
        <x:v>LA-003 — Nabi Apartments</x:v>
      </x:c>
      <x:c r="B25" s="37" t="str">
        <x:v>Watch</x:v>
      </x:c>
      <x:c r="C25" s="56" t="n">
        <x:v>72</x:v>
      </x:c>
      <x:c r="D25" s="37" t="str">
        <x:v>New dated active listing clears the date gate, but historic CDFI/project-covenant record requires regulatory confirmation.</x:v>
      </x:c>
      <x:c r="E25" s="37" t="str">
        <x:v>Obtain recorded affordability covenant / title confirmation and current T-12; then reassess for action status.</x:v>
      </x:c>
    </x:row>
    <x:row r="26" ht="42" customHeight="1">
      <x:c r="A26" s="37" t="str">
        <x:v>LA-008 — The Cooper Hollywood</x:v>
      </x:c>
      <x:c r="B26" s="37" t="str">
        <x:v>Watch</x:v>
      </x:c>
      <x:c r="C26" s="56" t="n">
        <x:v>71</x:v>
      </x:c>
      <x:c r="D26" s="37" t="str">
        <x:v>RSO status unresolved.</x:v>
      </x:c>
      <x:c r="E26" s="37" t="str">
        <x:v>Obtain HCIDLA RSO determination and OM rent-regulation disclosure.</x:v>
      </x:c>
    </x:row>
    <x:row r="27" ht="42" customHeight="1">
      <x:c r="A27" s="37" t="str">
        <x:v>FL-006 — The Genesis Clearwater</x:v>
      </x:c>
      <x:c r="B27" s="37" t="str">
        <x:v>Capital Event</x:v>
      </x:c>
      <x:c r="C27" s="56" t="n">
        <x:v>71</x:v>
      </x:c>
      <x:c r="D27" s="37" t="str">
        <x:v>Foreclosure report lacks primary debt / lien evidence.</x:v>
      </x:c>
      <x:c r="E27" s="37" t="str">
        <x:v>Pull Pinellas complaint, mortgage / assignment, balance, lender-borrower linkage, restriction evidence, and current deal contact.</x:v>
      </x:c>
    </x:row>
    <x:row r="28" ht="42" customHeight="1">
      <x:c r="A28" s="37" t="str">
        <x:v>FL-007 — 650 SW 1st St., Miami</x:v>
      </x:c>
      <x:c r="B28" s="37" t="str">
        <x:v>Watch</x:v>
      </x:c>
      <x:c r="C28" s="56" t="n">
        <x:v>70</x:v>
      </x:c>
      <x:c r="D28" s="37" t="str">
        <x:v>Mixed-use / price gate unresolved.</x:v>
      </x:c>
      <x:c r="E28" s="37" t="str">
        <x:v>Obtain signed sale mandate with explicit total ask, rent roll, retail-income share, restriction confirmation, and named broker contact.</x:v>
      </x:c>
    </x:row>
    <x:row r="29" ht="42" customHeight="1">
      <x:c r="A29" s="37" t="str">
        <x:v>FL-005 — The Wave Apartments, Tampa</x:v>
      </x:c>
      <x:c r="B29" s="37" t="str">
        <x:v>Capital Event</x:v>
      </x:c>
      <x:c r="C29" s="56" t="n">
        <x:v>69</x:v>
      </x:c>
      <x:c r="D29" s="37" t="str">
        <x:v>Default reporting lacks primary record.</x:v>
      </x:c>
      <x:c r="E29" s="37" t="str">
        <x:v>Pull Hillsborough complaint, mortgage / assignment, lender-borrower linkage, and restriction evidence.</x:v>
      </x:c>
    </x:row>
    <x:row r="30" ht="42" customHeight="1">
      <x:c r="A30" s="37" t="str">
        <x:v>FL-008 — 300 Majorca Ave., Coral Gables</x:v>
      </x:c>
      <x:c r="B30" s="37" t="str">
        <x:v>Watch</x:v>
      </x:c>
      <x:c r="C30" s="56" t="n">
        <x:v>68</x:v>
      </x:c>
      <x:c r="D30" s="37" t="str">
        <x:v>Market date, rental status, and covenants unresolved.</x:v>
      </x:c>
      <x:c r="E30" s="37" t="str">
        <x:v>Obtain current mandate, listing date, rental-versus-condo status, and covenant confirmation.</x:v>
      </x:c>
    </x:row>
    <x:row r="31" ht="42" customHeight="1">
      <x:c r="A31" s="37" t="str">
        <x:v>LA-013 — Park Terrace Apartments</x:v>
      </x:c>
      <x:c r="B31" s="37" t="str">
        <x:v>Watch</x:v>
      </x:c>
      <x:c r="C31" s="56" t="n">
        <x:v>68</x:v>
      </x:c>
      <x:c r="D31" s="37" t="str">
        <x:v>Current $10.8M / 51-unit listing has 1979 vintage and an aged May listing date; exact certificate-of-occupancy / RSO status is unresolved.</x:v>
      </x:c>
      <x:c r="E31" s="37" t="str">
        <x:v>Confirm City RSO status, recorded covenants, current exclusive mandate, and rent roll before action-queue promotion.</x:v>
      </x:c>
    </x:row>
    <x:row r="33">
      <x:c r="A33" s="59" t="str">
        <x:v>Exclusions and coverage gaps</x:v>
      </x:c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</x:row>
    <x:row r="34">
      <x:c r="A34" s="64" t="str">
        <x:v>Item</x:v>
      </x:c>
      <x:c r="B34" s="64" t="str">
        <x:v>Classification</x:v>
      </x:c>
      <x:c r="C34" s="64" t="str">
        <x:v>Reason</x:v>
      </x:c>
      <x:c r="D34" s="64" t="str">
        <x:v>Source / coverage note</x:v>
      </x:c>
    </x:row>
    <x:row r="35" ht="54" customHeight="1">
      <x:c r="A35" s="65" t="str">
        <x:v>1020 SW 2nd St., Miami</x:v>
      </x:c>
      <x:c r="B35" s="65" t="str">
        <x:v>Excluded</x:v>
      </x:c>
      <x:c r="C35" s="37" t="str">
        <x:v>20 apartments at $325,000/unit imply about $6.5M—below the $10M gate.</x:v>
      </x:c>
      <x:c r="D35" s="37" t="str">
        <x:v>Tier 1 direct listing | https://www.loopnet.com/Listing/1020-SW-2nd-St-Miami-FL/41479349/</x:v>
      </x:c>
    </x:row>
    <x:row r="36" ht="54" customHeight="1">
      <x:c r="A36" s="65" t="str">
        <x:v>PHI-006 — 2328–2344 N. 2nd St.</x:v>
      </x:c>
      <x:c r="B36" s="65" t="str">
        <x:v>Excluded</x:v>
      </x:c>
      <x:c r="C36" s="37" t="str">
        <x:v>33 apartments plus 3,750 SF retail and four townhome-approved parcels: materially mixed / development-inclusive.</x:v>
      </x:c>
      <x:c r="D36" s="37" t="str">
        <x:v>Tier 1 direct listing | https://www.loopnet.com/Listing/2328-2344-N-2nd-St-Philadelphia-PA/41009347/</x:v>
      </x:c>
    </x:row>
    <x:row r="37" ht="54" customHeight="1">
      <x:c r="A37" s="65" t="str">
        <x:v>Retained legacy exclusions</x:v>
      </x:c>
      <x:c r="B37" s="65" t="str">
        <x:v>Excluded</x:v>
      </x:c>
      <x:c r="C37" s="37" t="str">
        <x:v>Development/mixed-use: 2629 NW 17th and Sunshine (Miami); RSO/affordable or un-cleared covenant: The Peake, Centennial, Metropolitan Building; student/rent-by-bed Philadelphia items; unverified availability: Kenmore East.</x:v>
      </x:c>
      <x:c r="D37" s="37" t="str">
        <x:v>Retained from prior verified screenings; do not promote without new primary evidence.</x:v>
      </x:c>
    </x:row>
    <x:row r="38" ht="54" customHeight="1">
      <x:c r="A38" s="65" t="str">
        <x:v>Coverage gaps</x:v>
      </x:c>
      <x:c r="B38" s="65" t="str">
        <x:v>Coverage limitation</x:v>
      </x:c>
      <x:c r="C38" s="37" t="str">
        <x:v>No newly verified action lead in NYC; named North Carolina MSAs; Orlando, Jacksonville, Fort Myers, Naples, Sarasota, Palm Bay, Lakeland, or Daytona Beach.</x:v>
      </x:c>
      <x:c r="D38" s="37" t="str">
        <x:v>Targeted public-source sweep only; absence is not evidence that an eligible property does not exist.</x:v>
      </x:c>
    </x:row>
    <x:row r="40" ht="28" customHeight="1">
      <x:c r="A40" s="73" t="str">
        <x:v>Controls: No outreach was drafted, queued, scheduled, implied, or sent. Outreach requires the user's explicit approval of named lead IDs for this specific run. Historical $20M tabs were not modified.</x:v>
      </x:c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5"/>
    </x:row>
  </x:sheetData>
  <x:mergeCells>
    <x:mergeCell ref="A1:S1"/>
    <x:mergeCell ref="A2:S2"/>
    <x:mergeCell ref="A4:S4"/>
    <x:mergeCell ref="A5:S6"/>
    <x:mergeCell ref="A8:S8"/>
    <x:mergeCell ref="A16:S16"/>
    <x:mergeCell ref="A33:S33"/>
    <x:mergeCell ref="A40:S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40" hidden="0" customWidth="1"/>
    <x:col min="10" max="10" width="38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8" hidden="0" customWidth="1"/>
    <x:col min="20" max="20" width="34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7, 2026  |  Report-only  |  Targeted public-source coverage; not universal MSA or statewide coverage</x:v>
      </x:c>
    </x:row>
    <x:row r="4">
      <x:c r="A4" s="79" t="str">
        <x:v>Action queue</x:v>
      </x:c>
      <x:c r="B4" s="81" t="str">
        <x:v>5 continuing leads</x:v>
      </x:c>
      <x:c r="D4" s="79" t="str">
        <x:v>Watch 65–74</x:v>
      </x:c>
      <x:c r="E4" s="81" t="str">
        <x:v>15 leads</x:v>
      </x:c>
    </x:row>
    <x:row r="5">
      <x:c r="A5" s="79" t="str">
        <x:v>Priority 85+</x:v>
      </x:c>
      <x:c r="B5" s="81" t="str">
        <x:v>None</x:v>
      </x:c>
      <x:c r="D5" s="79" t="str">
        <x:v>Excluded</x:v>
      </x:c>
      <x:c r="E5" s="81" t="str">
        <x:v>8 categories</x:v>
      </x:c>
    </x:row>
    <x:row r="6">
      <x:c r="A6" s="79" t="str">
        <x:v>Qualified 75–84</x:v>
      </x:c>
      <x:c r="B6" s="81" t="str">
        <x:v>5</x:v>
      </x:c>
      <x:c r="D6" s="79" t="str">
        <x:v>$10M Gate</x:v>
      </x:c>
      <x:c r="E6" s="81" t="str">
        <x:v>Required for action queue</x:v>
      </x:c>
    </x:row>
    <x:row r="7">
      <x:c r="A7" s="79" t="str">
        <x:v>New qualified leads</x:v>
      </x:c>
      <x:c r="B7" s="81" t="str">
        <x:v>None</x:v>
      </x:c>
      <x:c r="D7" s="79" t="str">
        <x:v>Outreach</x:v>
      </x:c>
      <x:c r="E7" s="81" t="str">
        <x:v>Requires named-lead approval</x:v>
      </x:c>
    </x:row>
    <x:row r="9" ht="34" customHeight="1">
      <x:c r="A9" s="94" t="str">
        <x:v>Lead ID</x:v>
      </x:c>
      <x:c r="B9" s="94" t="str">
        <x:v>Status</x:v>
      </x:c>
      <x:c r="C9" s="94" t="str">
        <x:v>Classification</x:v>
      </x:c>
      <x:c r="D9" s="94" t="str">
        <x:v>$10M Gate</x:v>
      </x:c>
      <x:c r="E9" s="94" t="str">
        <x:v>Asset / Address</x:v>
      </x:c>
      <x:c r="F9" s="94" t="str">
        <x:v>MSA</x:v>
      </x:c>
      <x:c r="G9" s="94" t="str">
        <x:v>Units</x:v>
      </x:c>
      <x:c r="H9" s="94" t="str">
        <x:v>Owner / Sponsor / Lender / Listing Broker</x:v>
      </x:c>
      <x:c r="I9" s="94" t="str">
        <x:v>Observed facts</x:v>
      </x:c>
      <x:c r="J9" s="94" t="str">
        <x:v>Inference</x:v>
      </x:c>
      <x:c r="K9" s="94" t="str">
        <x:v>Counterargument</x:v>
      </x:c>
      <x:c r="L9" s="94" t="str">
        <x:v>Sale process 35</x:v>
      </x:c>
      <x:c r="M9" s="94" t="str">
        <x:v>Capital event 20</x:v>
      </x:c>
      <x:c r="N9" s="94" t="str">
        <x:v>Fit 15</x:v>
      </x:c>
      <x:c r="O9" s="94" t="str">
        <x:v>Execution 10</x:v>
      </x:c>
      <x:c r="P9" s="94" t="str">
        <x:v>Evidence / recency 15</x:v>
      </x:c>
      <x:c r="Q9" s="94" t="str">
        <x:v>Public contacts 5</x:v>
      </x:c>
      <x:c r="R9" s="94" t="str">
        <x:v>Score</x:v>
      </x:c>
      <x:c r="S9" s="94" t="str">
        <x:v>Sources / dates</x:v>
      </x:c>
      <x:c r="T9" s="94" t="str">
        <x:v>Verified public contact</x:v>
      </x:c>
      <x:c r="U9" s="94" t="str">
        <x:v>Light Tower angle</x:v>
      </x:c>
    </x:row>
    <x:row r="10" ht="92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listing current; 2025 construction; listed Aug. 17, 2026.</x:v>
      </x:c>
      <x:c r="J10" s="100" t="str">
        <x:v>Near-term sale advisory and acquisition-finance conversation.</x:v>
      </x:c>
      <x:c r="K10" s="100" t="str">
        <x:v>Confirm rent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listed Aug. 17, 2026 | crawled Sep. 6 | https://www.loopnet.com/Listing/1915-Park-Avenue-Los-Angeles-CA/41776924/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2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available; Class A, 2019 construction; listed Aug. 3, 2026.</x:v>
      </x:c>
      <x:c r="J11" s="100" t="str">
        <x:v>Buyer financing and structured recapitalization potential.</x:v>
      </x:c>
      <x:c r="K11" s="100" t="str">
        <x:v>Confirm seller authority, affordability covenant, current rent roll,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listed Aug. 3, 2026 | current search crawl Sep. 7 | https://www.loopnet.com/Listing/3675-Dunn-Dr-Los-Angeles-CA/41534752/</x:v>
      </x:c>
      <x:c r="T11" s="100" t="str">
        <x:v>Alex Galuz (310) 466-0888</x:v>
      </x:c>
      <x:c r="U11" s="100" t="str">
        <x:v>Sale advisory; buyer financing; senior refinance; recapitalization</x:v>
      </x:c>
    </x:row>
    <x:row r="12" ht="92" customHeight="1">
      <x:c r="A12" s="100" t="str">
        <x:v>CHI-004</x:v>
      </x:c>
      <x:c r="B12" s="100" t="str">
        <x:v>Continuing</x:v>
      </x:c>
      <x:c r="C12" s="100" t="str">
        <x:v>Active Sale</x:v>
      </x:c>
      <x:c r="D12" s="101" t="n">
        <x:v>12000000</x:v>
      </x:c>
      <x:c r="E12" s="100" t="str">
        <x:v>Washington Plaza, 5501 W Washington Blvd.</x:v>
      </x:c>
      <x:c r="F12" s="100" t="str">
        <x:v>Chicago</x:v>
      </x:c>
      <x:c r="G12" s="102" t="n">
        <x:v>172</x:v>
      </x:c>
      <x:c r="H12" s="100" t="str">
        <x:v>33 Realty</x:v>
      </x:c>
      <x:c r="I12" s="100" t="str">
        <x:v>Tier 1 listing current; 98% occupancy; listed Jul. 22, 2026.</x:v>
      </x:c>
      <x:c r="J12" s="100" t="str">
        <x:v>Buyer financing, bridge, or recapitalization potential.</x:v>
      </x:c>
      <x:c r="K12" s="100" t="str">
        <x:v>Confirm subsidy contracts, deferred maintenance, seller authority, rent roll, and capex plan.</x:v>
      </x:c>
      <x:c r="L12" s="103" t="n">
        <x:v>33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78</x:v>
      </x:c>
      <x:c r="S12" s="100" t="str">
        <x:v>LoopNet | listed Jul. 22, 2026 | crawled Sep. 1 | https://www.loopnet.com/Listing/5501-W-Washington-Blvd-Chicago-IL/41395207/</x:v>
      </x:c>
      <x:c r="T12" s="100" t="str">
        <x:v>Brian Mond (773) 615-2626; George Benitez (239) 443-0768</x:v>
      </x:c>
      <x:c r="U12" s="100" t="str">
        <x:v>Sale advisory; buyer financing; bridge; recapitalization</x:v>
      </x:c>
    </x:row>
    <x:row r="13" ht="92" customHeight="1">
      <x:c r="A13" s="100" t="str">
        <x:v>LA-012</x:v>
      </x:c>
      <x:c r="B13" s="100" t="str">
        <x:v>Continuing</x:v>
      </x:c>
      <x:c r="C13" s="100" t="str">
        <x:v>Active Sale</x:v>
      </x:c>
      <x:c r="D13" s="101" t="n">
        <x:v>14950000</x:v>
      </x:c>
      <x:c r="E13" s="100" t="str">
        <x:v>The Palms, 3929 W 242nd St.</x:v>
      </x:c>
      <x:c r="F13" s="100" t="str">
        <x:v>Los Angeles</x:v>
      </x:c>
      <x:c r="G13" s="102" t="n">
        <x:v>48</x:v>
      </x:c>
      <x:c r="H13" s="100" t="str">
        <x:v>Marcus &amp; Millichap</x:v>
      </x:c>
      <x:c r="I13" s="100" t="str">
        <x:v>Tier 1 listing current; conventional 48-unit garden asset; listed Aug. 17, 2026.</x:v>
      </x:c>
      <x:c r="J13" s="100" t="str">
        <x:v>Dated exclusive marketing supports buyer financing and a value-add capital plan.</x:v>
      </x:c>
      <x:c r="K13" s="100" t="str">
        <x:v>Verify rent-control status, seller authority, rent roll, capex plan, and restrictions.</x:v>
      </x:c>
      <x:c r="L13" s="103" t="n">
        <x:v>32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77</x:v>
      </x:c>
      <x:c r="S13" s="100" t="str">
        <x:v>LoopNet | listed Aug. 17, 2026 | crawled Sep. 7 | https://www.loopnet.com/Listing/3929-W-242nd-St-Torrance-CA/41776427/</x:v>
      </x:c>
      <x:c r="T13" s="100" t="str">
        <x:v>Tyler Leeson (714) 713-9086</x:v>
      </x:c>
      <x:c r="U13" s="100" t="str">
        <x:v>Sale advisory; buyer financing; bridge; preferred equity</x:v>
      </x:c>
    </x:row>
    <x:row r="14" ht="92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Two recent Tier 2 reports identify a Newmark-led sale process for a 44-acre, 64-building apartment complex.</x:v>
      </x:c>
      <x:c r="J14" s="100" t="str">
        <x:v>Institutional sale process may need sale advisory, buyer financing, preferred equity, recapitalization, or lender dialogue.</x:v>
      </x:c>
      <x:c r="K14" s="100" t="str">
        <x:v>Obtain OM, bid timing, seller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Aug. 31 + Hoodline Sep. 1 | https://www.bisnow.com/news/philadelphia/multifamily/largest-apartment-complex-for-sale-international-city | https://hoodline.com/2026/09/eastwick-s-1-068-unit-international-city-apartments-hits-market-tests-philly-rent-ceiling/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83" t="str">
        <x:v>Watch — 65–74: evidence or product gates still open</x:v>
      </x:c>
    </x:row>
    <x:row r="17" ht="34" customHeight="1">
      <x:c r="A17" s="94" t="str">
        <x:v>Lead ID</x:v>
      </x:c>
      <x:c r="B17" s="94" t="str">
        <x:v>Classification</x:v>
      </x:c>
      <x:c r="C17" s="94" t="str">
        <x:v>Asset / MSA</x:v>
      </x:c>
      <x:c r="D17" s="94" t="str">
        <x:v>Score</x:v>
      </x:c>
      <x:c r="E17" s="94" t="str">
        <x:v>Reason held</x:v>
      </x:c>
      <x:c r="F17" s="94" t="str">
        <x:v>Precise next verification step</x:v>
      </x:c>
    </x:row>
    <x:row r="18" ht="44" customHeight="1">
      <x:c r="A18" s="100" t="str">
        <x:v>CHI-003</x:v>
      </x:c>
      <x:c r="B18" s="100" t="str">
        <x:v>Watch</x:v>
      </x:c>
      <x:c r="C18" s="100" t="str">
        <x:v>4520–26 S. Drexel, Chicago</x:v>
      </x:c>
      <x:c r="D18" s="103" t="n">
        <x:v>74</x:v>
      </x:c>
      <x:c r="E18" s="100" t="str">
        <x:v>Secondary foreclosure reporting is not a current primary record.</x:v>
      </x:c>
      <x:c r="F18" s="100" t="str">
        <x:v>Obtain Cook County docket, receiver order, complaint, payoff, and current marketing status.</x:v>
      </x:c>
    </x:row>
    <x:row r="19" ht="44" customHeight="1">
      <x:c r="A19" s="100" t="str">
        <x:v>LA-014</x:v>
      </x:c>
      <x:c r="B19" s="100" t="str">
        <x:v>Watch</x:v>
      </x:c>
      <x:c r="C19" s="100" t="str">
        <x:v>13724 Victory Blvd., Van Nuys / Los Angeles</x:v>
      </x:c>
      <x:c r="D19" s="103" t="n">
        <x:v>73</x:v>
      </x:c>
      <x:c r="E19" s="100" t="str">
        <x:v>No listing date, OM, or asset-level contact is published.</x:v>
      </x:c>
      <x:c r="F19" s="100" t="str">
        <x:v>Obtain dated exclusive or MLS, OM, rent roll, seller authority, and covenant evidence.</x:v>
      </x:c>
    </x:row>
    <x:row r="20" ht="44" customHeight="1">
      <x:c r="A20" s="100" t="str">
        <x:v>LA-003</x:v>
      </x:c>
      <x:c r="B20" s="100" t="str">
        <x:v>Watch</x:v>
      </x:c>
      <x:c r="C20" s="100" t="str">
        <x:v>Nabi Apartments, Los Angeles</x:v>
      </x:c>
      <x:c r="D20" s="103" t="n">
        <x:v>72</x:v>
      </x:c>
      <x:c r="E20" s="100" t="str">
        <x:v>Historical CDFI/project evidence requires regulatory clearance.</x:v>
      </x:c>
      <x:c r="F20" s="100" t="str">
        <x:v>Check recorded affordability covenant, title, HCD records, and deed restrictions.</x:v>
      </x:c>
    </x:row>
    <x:row r="21" ht="44" customHeight="1">
      <x:c r="A21" s="100" t="str">
        <x:v>FL-001</x:v>
      </x:c>
      <x:c r="B21" s="100" t="str">
        <x:v>Watch</x:v>
      </x:c>
      <x:c r="C21" s="100" t="str">
        <x:v>Gables Galiano, Coral Gables / Miami</x:v>
      </x:c>
      <x:c r="D21" s="103" t="n">
        <x:v>71</x:v>
      </x:c>
      <x:c r="E21" s="100" t="str">
        <x:v>Extended marketing weakens current sale-process evidence.</x:v>
      </x:c>
      <x:c r="F21" s="100" t="str">
        <x:v>Obtain current broker mandate, OM, rent roll, restrictions confirmation, and seller authority.</x:v>
      </x:c>
    </x:row>
    <x:row r="22" ht="44" customHeight="1">
      <x:c r="A22" s="100" t="str">
        <x:v>FL-006</x:v>
      </x:c>
      <x:c r="B22" s="100" t="str">
        <x:v>Watch</x:v>
      </x:c>
      <x:c r="C22" s="100" t="str">
        <x:v>Genesis Clearwater, Clearwater / Tampa</x:v>
      </x:c>
      <x:c r="D22" s="103" t="n">
        <x:v>71</x:v>
      </x:c>
      <x:c r="E22" s="100" t="str">
        <x:v>Foreclosure reporting lacks primary debt and party linkage.</x:v>
      </x:c>
      <x:c r="F22" s="100" t="str">
        <x:v>Obtain Pinellas complaint, mortgage/assignment, debt balance, lender/borrower link, and restrictions.</x:v>
      </x:c>
    </x:row>
    <x:row r="23" ht="44" customHeight="1">
      <x:c r="A23" s="100" t="str">
        <x:v>FL-007</x:v>
      </x:c>
      <x:c r="B23" s="100" t="str">
        <x:v>Watch</x:v>
      </x:c>
      <x:c r="C23" s="100" t="str">
        <x:v>650 SW 1st St., Miami</x:v>
      </x:c>
      <x:c r="D23" s="103" t="n">
        <x:v>70</x:v>
      </x:c>
      <x:c r="E23" s="100" t="str">
        <x:v>21 apartments plus retail; no explicit total ask.</x:v>
      </x:c>
      <x:c r="F23" s="100" t="str">
        <x:v>Obtain signed mandate with total ask, residential-income split, rent roll, restrictions, and broker.</x:v>
      </x:c>
    </x:row>
    <x:row r="24" ht="44" customHeight="1">
      <x:c r="A24" s="100" t="str">
        <x:v>PHI-008</x:v>
      </x:c>
      <x:c r="B24" s="100" t="str">
        <x:v>Watch</x:v>
      </x:c>
      <x:c r="C24" s="100" t="str">
        <x:v>220–222 Church, Philadelphia</x:v>
      </x:c>
      <x:c r="D24" s="103" t="n">
        <x:v>70</x:v>
      </x:c>
      <x:c r="E24" s="100" t="str">
        <x:v>Unit count, commercial scope, and mandate are inconsistent.</x:v>
      </x:c>
      <x:c r="F24" s="100" t="str">
        <x:v>Obtain OM, lease/rent roll, 40-versus-45-unit reconciliation, and broker mandate.</x:v>
      </x:c>
    </x:row>
    <x:row r="25" ht="44" customHeight="1">
      <x:c r="A25" s="100" t="str">
        <x:v>PHI-007</x:v>
      </x:c>
      <x:c r="B25" s="100" t="str">
        <x:v>Watch</x:v>
      </x:c>
      <x:c r="C25" s="100" t="str">
        <x:v>The Maxfield, Philadelphia</x:v>
      </x:c>
      <x:c r="D25" s="103" t="n">
        <x:v>70</x:v>
      </x:c>
      <x:c r="E25" s="100" t="str">
        <x:v>Listing age weakens current availability.</x:v>
      </x:c>
      <x:c r="F25" s="100" t="str">
        <x:v>Obtain current exclusive, T-12, rent roll, and seller-authority confirmation.</x:v>
      </x:c>
    </x:row>
    <x:row r="26" ht="44" customHeight="1">
      <x:c r="A26" s="100" t="str">
        <x:v>FL-005</x:v>
      </x:c>
      <x:c r="B26" s="100" t="str">
        <x:v>Watch</x:v>
      </x:c>
      <x:c r="C26" s="100" t="str">
        <x:v>The Wave Apartments, Tampa</x:v>
      </x:c>
      <x:c r="D26" s="103" t="n">
        <x:v>69</x:v>
      </x:c>
      <x:c r="E26" s="100" t="str">
        <x:v>Default reporting lacks a primary foreclosure record.</x:v>
      </x:c>
      <x:c r="F26" s="100" t="str">
        <x:v>Obtain Hillsborough complaint, mortgage/assignment, lender/borrower linkage, and restrictions.</x:v>
      </x:c>
    </x:row>
    <x:row r="27" ht="44" customHeight="1">
      <x:c r="A27" s="100" t="str">
        <x:v>FL-003</x:v>
      </x:c>
      <x:c r="B27" s="100" t="str">
        <x:v>Watch</x:v>
      </x:c>
      <x:c r="C27" s="100" t="str">
        <x:v>California Club, Miami</x:v>
      </x:c>
      <x:c r="D27" s="103" t="n">
        <x:v>69</x:v>
      </x:c>
      <x:c r="E27" s="100" t="str">
        <x:v>Current mandate evidence is insufficiently recent.</x:v>
      </x:c>
      <x:c r="F27" s="100" t="str">
        <x:v>Obtain current listing agreement, units/price confirmation, rent roll, and restrictions check.</x:v>
      </x:c>
    </x:row>
    <x:row r="28" ht="44" customHeight="1">
      <x:c r="A28" s="100" t="str">
        <x:v>LA-007</x:v>
      </x:c>
      <x:c r="B28" s="100" t="str">
        <x:v>Watch</x:v>
      </x:c>
      <x:c r="C28" s="100" t="str">
        <x:v>The Jeffries, Los Angeles</x:v>
      </x:c>
      <x:c r="D28" s="103" t="n">
        <x:v>69</x:v>
      </x:c>
      <x:c r="E28" s="100" t="str">
        <x:v>Current availability and regulatory status lack corroboration.</x:v>
      </x:c>
      <x:c r="F28" s="100" t="str">
        <x:v>Obtain live broker mandate, RSO/affordability clearance, price, and rent roll.</x:v>
      </x:c>
    </x:row>
    <x:row r="29" ht="44" customHeight="1">
      <x:c r="A29" s="100" t="str">
        <x:v>NY-001</x:v>
      </x:c>
      <x:c r="B29" s="100" t="str">
        <x:v>Watch</x:v>
      </x:c>
      <x:c r="C29" s="100" t="str">
        <x:v>30-unit portfolio, NYC</x:v>
      </x:c>
      <x:c r="D29" s="103" t="n">
        <x:v>68</x:v>
      </x:c>
      <x:c r="E29" s="100" t="str">
        <x:v>Stabilization status and current sale process are unclear.</x:v>
      </x:c>
      <x:c r="F29" s="100" t="str">
        <x:v>Obtain HPD/DHCR records, current OM, address list, price, and broker authority.</x:v>
      </x:c>
    </x:row>
    <x:row r="30" ht="44" customHeight="1">
      <x:c r="A30" s="100" t="str">
        <x:v>LA-008</x:v>
      </x:c>
      <x:c r="B30" s="100" t="str">
        <x:v>Watch</x:v>
      </x:c>
      <x:c r="C30" s="100" t="str">
        <x:v>The Cooper, Los Angeles</x:v>
      </x:c>
      <x:c r="D30" s="103" t="n">
        <x:v>68</x:v>
      </x:c>
      <x:c r="E30" s="100" t="str">
        <x:v>Current listing needs RSO determination.</x:v>
      </x:c>
      <x:c r="F30" s="100" t="str">
        <x:v>Verify HCIDLA RSO status, title/covenants, and current broker mandate.</x:v>
      </x:c>
    </x:row>
    <x:row r="31" ht="44" customHeight="1">
      <x:c r="A31" s="100" t="str">
        <x:v>LA-009</x:v>
      </x:c>
      <x:c r="B31" s="100" t="str">
        <x:v>Watch</x:v>
      </x:c>
      <x:c r="C31" s="100" t="str">
        <x:v>1400 Venice Blvd., Los Angeles</x:v>
      </x:c>
      <x:c r="D31" s="103" t="n">
        <x:v>68</x:v>
      </x:c>
      <x:c r="E31" s="100" t="str">
        <x:v>Ask lacks a dated current listing record.</x:v>
      </x:c>
      <x:c r="F31" s="100" t="str">
        <x:v>Obtain dated exclusive/MLS, seller authority, RSO/covenant status, and rent roll.</x:v>
      </x:c>
    </x:row>
    <x:row r="32" ht="44" customHeight="1">
      <x:c r="A32" s="100" t="str">
        <x:v>LA-013</x:v>
      </x:c>
      <x:c r="B32" s="100" t="str">
        <x:v>Watch</x:v>
      </x:c>
      <x:c r="C32" s="100" t="str">
        <x:v>Park Terrace Apartments, Los Angeles</x:v>
      </x:c>
      <x:c r="D32" s="103" t="n">
        <x:v>68</x:v>
      </x:c>
      <x:c r="E32" s="100" t="str">
        <x:v>Aged mandate and occupancy/regulatory evidence unresolved.</x:v>
      </x:c>
      <x:c r="F32" s="100" t="str">
        <x:v>Obtain current mandate, CO, RSO determination, title/covenants, and rent roll.</x:v>
      </x:c>
    </x:row>
    <x:row r="34">
      <x:c r="A34" s="85" t="str">
        <x:v>Excluded and coverage gaps</x:v>
      </x:c>
    </x:row>
    <x:row r="35" ht="34" customHeight="1">
      <x:c r="A35" s="94" t="str">
        <x:v>Item</x:v>
      </x:c>
      <x:c r="B35" s="94" t="str">
        <x:v>Classification</x:v>
      </x:c>
      <x:c r="C35" s="94" t="str">
        <x:v>Exclusion reason</x:v>
      </x:c>
    </x:row>
    <x:row r="36" ht="32" customHeight="1">
      <x:c r="A36" s="100" t="str">
        <x:v>1020 SW 2nd St., Miami</x:v>
      </x:c>
      <x:c r="B36" s="100" t="str">
        <x:v>Excluded</x:v>
      </x:c>
      <x:c r="C36" s="100" t="str">
        <x:v>20 units at $325,000/unit imply about $6.5M, below the $10M gate.</x:v>
      </x:c>
    </x:row>
    <x:row r="37" ht="32" customHeight="1">
      <x:c r="A37" s="100" t="str">
        <x:v>2629 NW 17th Ave., Miami</x:v>
      </x:c>
      <x:c r="B37" s="100" t="str">
        <x:v>Excluded</x:v>
      </x:c>
      <x:c r="C37" s="100" t="str">
        <x:v>Explicitly marketed as a covered-land/high-density Live Local/workforce-housing development play.</x:v>
      </x:c>
    </x:row>
    <x:row r="38" ht="32" customHeight="1">
      <x:c r="A38" s="100" t="str">
        <x:v>2328–2344 N. 2nd St., Philadelphia</x:v>
      </x:c>
      <x:c r="B38" s="100" t="str">
        <x:v>Excluded</x:v>
      </x:c>
      <x:c r="C38" s="100" t="str">
        <x:v>Apartments bundled with retail suites and townhome-approved parcels; materially mixed/development-inclusive.</x:v>
      </x:c>
    </x:row>
    <x:row r="39" ht="32" customHeight="1">
      <x:c r="A39" s="100" t="str">
        <x:v>4200 Ludlow; 4042/4046–48 Chestnut; 3207 Spring Garden, Philadelphia</x:v>
      </x:c>
      <x:c r="B39" s="100" t="str">
        <x:v>Excluded</x:v>
      </x:c>
      <x:c r="C39" s="100" t="str">
        <x:v>Student/rent-by-bed product.</x:v>
      </x:c>
    </x:row>
    <x:row r="40" ht="32" customHeight="1">
      <x:c r="A40" s="100" t="str">
        <x:v>The Centennial; Metropolitan Building, Los Angeles</x:v>
      </x:c>
      <x:c r="B40" s="100" t="str">
        <x:v>Excluded</x:v>
      </x:c>
      <x:c r="C40" s="100" t="str">
        <x:v>Rent-stabilized/affordable status outside the primary unrestricted queue.</x:v>
      </x:c>
    </x:row>
    <x:row r="41" ht="32" customHeight="1">
      <x:c r="A41" s="100" t="str">
        <x:v>The Peake; 4186 S. Western; 1350 W. Court, Los Angeles</x:v>
      </x:c>
      <x:c r="B41" s="100" t="str">
        <x:v>Excluded</x:v>
      </x:c>
      <x:c r="C41" s="100" t="str">
        <x:v>Verified restricted-affordable or project-specific affordable requirement.</x:v>
      </x:c>
    </x:row>
    <x:row r="42" ht="32" customHeight="1">
      <x:c r="A42" s="100" t="str">
        <x:v>Sunshine, 4110 NW 22nd Ave., Miami</x:v>
      </x:c>
      <x:c r="B42" s="100" t="str">
        <x:v>Excluded</x:v>
      </x:c>
      <x:c r="C42" s="100" t="str">
        <x:v>Under-construction/materially mixed-use product.</x:v>
      </x:c>
    </x:row>
    <x:row r="43" ht="32" customHeight="1">
      <x:c r="A43" s="100" t="str">
        <x:v>Allapattah 23, Miami</x:v>
      </x:c>
      <x:c r="B43" s="100" t="str">
        <x:v>Excluded</x:v>
      </x:c>
      <x:c r="C43" s="100" t="str">
        <x:v>Repriced to $9.5M and classified as multifamily dormitory product.</x:v>
      </x:c>
    </x:row>
    <x:row r="45" ht="42" customHeight="1">
      <x:c r="A45" s="89" t="str">
        <x:v>Coverage limitation: targeted public-source sweep only. NYC, Los Angeles, Chicago, Philadelphia, named Florida MSAs, and named North Carolina MSAs were screened; absence of a lead is not evidence that no opportunity exists. No outreach was drafted, queued, scheduled, implied, or sent.</x:v>
      </x:c>
    </x:row>
    <x:row r="46" ht="42" customHeight="1">
      <x:c r="A46" s="89" t="str">
        <x:v>Google Drive/Sheets connector unavailable: established Google Sheet and historical $20M tabs were left untouched. Authenticated Gmail session exists, but no email was sent because sending requires action-time confirmation.</x:v>
      </x:c>
    </x:row>
  </x:sheetData>
  <x:mergeCells>
    <x:mergeCell ref="A1:Z1"/>
    <x:mergeCell ref="A2:Z2"/>
    <x:mergeCell ref="A16:H16"/>
    <x:mergeCell ref="A34:C34"/>
    <x:mergeCell ref="A45:U45"/>
    <x:mergeCell ref="A46:U46"/>
  </x:mergeCells>
  <x:conditionalFormatting sqref="R10:R14">
    <x:cfRule type="cellIs" dxfId="0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efebbad431704885"/>
    <x:tablePart xmlns:r="http://schemas.openxmlformats.org/officeDocument/2006/relationships" r:id="R7f0a6a486c5e4c9d"/>
    <x:tablePart xmlns:r="http://schemas.openxmlformats.org/officeDocument/2006/relationships" r:id="R5cc4bfa089dd476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39" hidden="0" customWidth="1"/>
    <x:col min="10" max="10" width="35" hidden="0" customWidth="1"/>
    <x:col min="11" max="11" width="36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5" hidden="0" customWidth="1"/>
    <x:col min="20" max="20" width="34" hidden="0" customWidth="1"/>
    <x:col min="21" max="21" width="36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8, 2026 | Report-only | Targeted public-source coverage; not universal MSA or statewide coverage</x:v>
      </x:c>
    </x:row>
    <x:row r="4">
      <x:c r="A4" s="105" t="str">
        <x:v>Action queue</x:v>
      </x:c>
      <x:c r="B4" s="107" t="str">
        <x:v>7 leads</x:v>
      </x:c>
      <x:c r="D4" s="105" t="str">
        <x:v>Watch 65–74</x:v>
      </x:c>
      <x:c r="E4" s="107" t="str">
        <x:v>14 leads</x:v>
      </x:c>
    </x:row>
    <x:row r="5">
      <x:c r="A5" s="105" t="str">
        <x:v>Priority 85+</x:v>
      </x:c>
      <x:c r="B5" s="107" t="str">
        <x:v>None</x:v>
      </x:c>
      <x:c r="D5" s="105" t="str">
        <x:v>Excluded</x:v>
      </x:c>
      <x:c r="E5" s="107" t="str">
        <x:v>6 categories</x:v>
      </x:c>
    </x:row>
    <x:row r="6">
      <x:c r="A6" s="105" t="str">
        <x:v>Qualified 75–84</x:v>
      </x:c>
      <x:c r="B6" s="107" t="str">
        <x:v>7</x:v>
      </x:c>
      <x:c r="D6" s="105" t="str">
        <x:v>$10M Gate</x:v>
      </x:c>
      <x:c r="E6" s="107" t="str">
        <x:v>Required</x:v>
      </x:c>
    </x:row>
    <x:row r="7">
      <x:c r="A7" s="105" t="str">
        <x:v>New qualified leads</x:v>
      </x:c>
      <x:c r="B7" s="107" t="str">
        <x:v>2</x:v>
      </x:c>
      <x:c r="D7" s="105" t="str">
        <x:v>Outreach</x:v>
      </x:c>
      <x:c r="E7" s="107" t="str">
        <x:v>Named-lead approval required</x:v>
      </x:c>
    </x:row>
    <x:row r="9" ht="36" customHeight="1">
      <x:c r="A9" s="119" t="str">
        <x:v>Lead ID</x:v>
      </x:c>
      <x:c r="B9" s="119" t="str">
        <x:v>Status</x:v>
      </x:c>
      <x:c r="C9" s="119" t="str">
        <x:v>Classification</x:v>
      </x:c>
      <x:c r="D9" s="119" t="str">
        <x:v>$10M Gate</x:v>
      </x:c>
      <x:c r="E9" s="119" t="str">
        <x:v>Asset / Address</x:v>
      </x:c>
      <x:c r="F9" s="119" t="str">
        <x:v>MSA</x:v>
      </x:c>
      <x:c r="G9" s="119" t="str">
        <x:v>Units</x:v>
      </x:c>
      <x:c r="H9" s="119" t="str">
        <x:v>Owner / Sponsor / Lender / Broker</x:v>
      </x:c>
      <x:c r="I9" s="119" t="str">
        <x:v>Observed facts</x:v>
      </x:c>
      <x:c r="J9" s="119" t="str">
        <x:v>Inference</x:v>
      </x:c>
      <x:c r="K9" s="119" t="str">
        <x:v>Counterargument</x:v>
      </x:c>
      <x:c r="L9" s="119" t="str">
        <x:v>Sale process 35</x:v>
      </x:c>
      <x:c r="M9" s="119" t="str">
        <x:v>Capital event 20</x:v>
      </x:c>
      <x:c r="N9" s="119" t="str">
        <x:v>Fit 15</x:v>
      </x:c>
      <x:c r="O9" s="119" t="str">
        <x:v>Execution 10</x:v>
      </x:c>
      <x:c r="P9" s="119" t="str">
        <x:v>Evidence / recency 15</x:v>
      </x:c>
      <x:c r="Q9" s="119" t="str">
        <x:v>Public contacts 5</x:v>
      </x:c>
      <x:c r="R9" s="119" t="str">
        <x:v>Score</x:v>
      </x:c>
      <x:c r="S9" s="119" t="str">
        <x:v>Sources / dates</x:v>
      </x:c>
      <x:c r="T9" s="119" t="str">
        <x:v>Verified public contact</x:v>
      </x:c>
      <x:c r="U9" s="119" t="str">
        <x:v>Light Tower angle</x:v>
      </x:c>
    </x:row>
    <x:row r="10" ht="94" customHeight="1">
      <x:c r="A10" s="100" t="str">
        <x:v>LA-014</x:v>
      </x:c>
      <x:c r="B10" s="100" t="str">
        <x:v>New</x:v>
      </x:c>
      <x:c r="C10" s="100" t="str">
        <x:v>Active Sale</x:v>
      </x:c>
      <x:c r="D10" s="101" t="n">
        <x:v>22900000</x:v>
      </x:c>
      <x:c r="E10" s="100" t="str">
        <x:v>V on Victory, 13724 Victory Blvd.</x:v>
      </x:c>
      <x:c r="F10" s="100" t="str">
        <x:v>Los Angeles</x:v>
      </x:c>
      <x:c r="G10" s="102" t="n">
        <x:v>68</x:v>
      </x:c>
      <x:c r="H10" s="100" t="str">
        <x:v>Marcus &amp; Millichap</x:v>
      </x:c>
      <x:c r="I10" s="100" t="str">
        <x:v>Tier 1 live listing, Sep. 2 market date; 2022 construction, 97% occupancy, 5.50% cap rate, apartments.</x:v>
      </x:c>
      <x:c r="J10" s="100" t="str">
        <x:v>Fresh sale process supports advisory and acquisition financing.</x:v>
      </x:c>
      <x:c r="K10" s="100" t="str">
        <x:v>Confirm seller authority, rent roll, title/covenants, and revenue assumptions.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market date Sep. 2 | current Sep. 8 | https://www.loopnet.com/Listing/13724-Victory-Blvd-Van-Nuys-CA/42019684/</x:v>
      </x:c>
      <x:c r="T10" s="100" t="str">
        <x:v>Glen Scher; Filip Niculete; Tony Dang, Marcus &amp; Millichap; (818) 667-6683</x:v>
      </x:c>
      <x:c r="U10" s="100" t="str">
        <x:v>Sale advisory; buyer financing; senior refinance; recapitalization</x:v>
      </x:c>
    </x:row>
    <x:row r="11" ht="94" customHeight="1">
      <x:c r="A11" s="100" t="str">
        <x:v>LA-015</x:v>
      </x:c>
      <x:c r="B11" s="100" t="str">
        <x:v>New</x:v>
      </x:c>
      <x:c r="C11" s="100" t="str">
        <x:v>Active Sale</x:v>
      </x:c>
      <x:c r="D11" s="101" t="n">
        <x:v>11200000</x:v>
      </x:c>
      <x:c r="E11" s="100" t="str">
        <x:v>2912–2924 W. 141st Pl. &amp; 2925 W. Rosecrans Ave.</x:v>
      </x:c>
      <x:c r="F11" s="100" t="str">
        <x:v>Los Angeles</x:v>
      </x:c>
      <x:c r="G11" s="102" t="n">
        <x:v>32</x:v>
      </x:c>
      <x:c r="H11" s="100" t="str">
        <x:v>Shield Commercial Real Estate</x:v>
      </x:c>
      <x:c r="I11" s="100" t="str">
        <x:v>Tier 1 live listing, Aug. 17 market date; 32-unit garden portfolio; 2025 actual NOI $721,330; listing says AB 1482 only.</x:v>
      </x:c>
      <x:c r="J11" s="100" t="str">
        <x:v>Dated marketing and operating data support buyer financing or bridge/recap dialogue.</x:v>
      </x:c>
      <x:c r="K11" s="100" t="str">
        <x:v>Verify seller authority, statutory rent-control applicability, title, rent roll, and renovations.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market date Aug. 17 | current Sep. 8 | https://www.loopnet.com/Listing/2912-W-141st-Pl-Gardena-CA/41773238/</x:v>
      </x:c>
      <x:c r="T11" s="100" t="str">
        <x:v>Jonathan Nikfarjam; Allen Gholian, Shield Commercial; (310) 593-9868</x:v>
      </x:c>
      <x:c r="U11" s="100" t="str">
        <x:v>Sale advisory; buyer financing; bridge; recapitalization</x:v>
      </x:c>
    </x:row>
    <x:row r="12" ht="94" customHeight="1">
      <x:c r="A12" s="100" t="str">
        <x:v>LA-011</x:v>
      </x:c>
      <x:c r="B12" s="100" t="str">
        <x:v>Continuing</x:v>
      </x:c>
      <x:c r="C12" s="100" t="str">
        <x:v>Active Sale</x:v>
      </x:c>
      <x:c r="D12" s="101" t="n">
        <x:v>18000000</x:v>
      </x:c>
      <x:c r="E12" s="100" t="str">
        <x:v>Park.1915, 1915 Park Ave.</x:v>
      </x:c>
      <x:c r="F12" s="100" t="str">
        <x:v>Los Angeles</x:v>
      </x:c>
      <x:c r="G12" s="102" t="n">
        <x:v>36</x:v>
      </x:c>
      <x:c r="H12" s="100" t="str">
        <x:v>Marcus &amp; Millichap</x:v>
      </x:c>
      <x:c r="I12" s="100" t="str">
        <x:v>Exclusive broker page remains live for a 2025-built, 36-unit apartment asset.</x:v>
      </x:c>
      <x:c r="J12" s="100" t="str">
        <x:v>Near-term sale advisory and acquisition-financing conversation.</x:v>
      </x:c>
      <x:c r="K12" s="100" t="str">
        <x:v>Confirm restrictions, CO, seller authority, rent roll, and actual 2025 results.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Marcus &amp; Millichap | current Sep. 8 | https://www.marcusmillichap.com/properties/304677/park1915</x:v>
      </x:c>
      <x:c r="T12" s="100" t="str">
        <x:v>Neema Ahadian (310) 909-5444; Jeffrey Estrada (310) 909-5423</x:v>
      </x:c>
      <x:c r="U12" s="100" t="str">
        <x:v>Sale advisory; buyer financing; senior refinance</x:v>
      </x:c>
    </x:row>
    <x:row r="13" ht="94" customHeight="1">
      <x:c r="A13" s="100" t="str">
        <x:v>LA-010</x:v>
      </x:c>
      <x:c r="B13" s="100" t="str">
        <x:v>Continuing</x:v>
      </x:c>
      <x:c r="C13" s="100" t="str">
        <x:v>Active Sale</x:v>
      </x:c>
      <x:c r="D13" s="101" t="n">
        <x:v>15950000</x:v>
      </x:c>
      <x:c r="E13" s="100" t="str">
        <x:v>3675 Dunn Dr.</x:v>
      </x:c>
      <x:c r="F13" s="100" t="str">
        <x:v>Los Angeles</x:v>
      </x:c>
      <x:c r="G13" s="102" t="n">
        <x:v>18</x:v>
      </x:c>
      <x:c r="H13" s="100" t="str">
        <x:v>Alex Galuz, KW Commercial</x:v>
      </x:c>
      <x:c r="I13" s="100" t="str">
        <x:v>Tier 1 listing remains live for a 2019-built Class A, 18-unit apartment asset.</x:v>
      </x:c>
      <x:c r="J13" s="100" t="str">
        <x:v>Buyer financing and recapitalization potential.</x:v>
      </x:c>
      <x:c r="K13" s="100" t="str">
        <x:v>Confirm seller authority, affordability covenant, current rent roll, and actual debt.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| listed Aug. 3 | current Sep. 8 | https://www.loopnet.com/Listing/3675-Dunn-Dr-Los-Angeles-CA/41534752/</x:v>
      </x:c>
      <x:c r="T13" s="100" t="str">
        <x:v>Alex Galuz (310) 466-0888</x:v>
      </x:c>
      <x:c r="U13" s="100" t="str">
        <x:v>Sale advisory; buyer financing; senior refinance; recapitalization</x:v>
      </x:c>
    </x:row>
    <x:row r="14" ht="94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remains live at $12M; 172 units, 98% occupancy, apartment subtype.</x:v>
      </x:c>
      <x:c r="J14" s="100" t="str">
        <x:v>Buyer financing, bridge, or recapitalization potential.</x:v>
      </x:c>
      <x:c r="K14" s="100" t="str">
        <x:v>Confirm subsidy contracts,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| listed Jul. 22 | current Sep. 8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94" customHeight="1">
      <x:c r="A15" s="100" t="str">
        <x:v>LA-012</x:v>
      </x:c>
      <x:c r="B15" s="100" t="str">
        <x:v>Continuing</x:v>
      </x:c>
      <x:c r="C15" s="100" t="str">
        <x:v>Active Sale</x:v>
      </x:c>
      <x:c r="D15" s="101" t="n">
        <x:v>14950000</x:v>
      </x:c>
      <x:c r="E15" s="100" t="str">
        <x:v>The Palms, 3929 W. 242nd St.</x:v>
      </x:c>
      <x:c r="F15" s="100" t="str">
        <x:v>Los Angeles</x:v>
      </x:c>
      <x:c r="G15" s="102" t="n">
        <x:v>48</x:v>
      </x:c>
      <x:c r="H15" s="100" t="str">
        <x:v>Marcus &amp; Millichap</x:v>
      </x:c>
      <x:c r="I15" s="100" t="str">
        <x:v>Exclusive broker page remains live; MLS data has Aug. 17 list date and Aug. 24 reduction to $14.95M.</x:v>
      </x:c>
      <x:c r="J15" s="100" t="str">
        <x:v>Dated exclusive marketing supports buyer financing and value-add capital planning.</x:v>
      </x:c>
      <x:c r="K15" s="100" t="str">
        <x:v>Verify local rent-control status, seller authority, rent roll, capex plan, and restrictions.</x:v>
      </x:c>
      <x:c r="L15" s="103" t="n">
        <x:v>32</x:v>
      </x:c>
      <x:c r="M15" s="103" t="n">
        <x:v>0</x:v>
      </x:c>
      <x:c r="N15" s="103" t="n">
        <x:v>15</x:v>
      </x:c>
      <x:c r="O15" s="103" t="n">
        <x:v>10</x:v>
      </x:c>
      <x:c r="P15" s="103" t="n">
        <x:v>15</x:v>
      </x:c>
      <x:c r="Q15" s="103" t="n">
        <x:v>5</x:v>
      </x:c>
      <x:c r="R15" s="103" t="n">
        <x:f>SUM(L15:Q15)</x:f>
        <x:v>77</x:v>
      </x:c>
      <x:c r="S15" s="100" t="str">
        <x:v>Marcus &amp; Millichap + Redfin | current Sep. 8 | https://www.marcusmillichap.com/properties/308515/the-palms</x:v>
      </x:c>
      <x:c r="T15" s="100" t="str">
        <x:v>Tyler Leeson (714) 713-9086</x:v>
      </x:c>
      <x:c r="U15" s="100" t="str">
        <x:v>Sale advisory; buyer financing; bridge; preferred equity</x:v>
      </x:c>
    </x:row>
    <x:row r="16" ht="94" customHeight="1">
      <x:c r="A16" s="100" t="str">
        <x:v>PHI-009</x:v>
      </x:c>
      <x:c r="B16" s="100" t="str">
        <x:v>Continuing</x:v>
      </x:c>
      <x:c r="C16" s="100" t="str">
        <x:v>Pre-Marketing / Quiet Sale</x:v>
      </x:c>
      <x:c r="D16" s="101" t="n">
        <x:v>141000000</x:v>
      </x:c>
      <x:c r="E16" s="100" t="str">
        <x:v>International City Apartments, 7900 &amp; 8400 Lindbergh Blvd.</x:v>
      </x:c>
      <x:c r="F16" s="100" t="str">
        <x:v>Philadelphia</x:v>
      </x:c>
      <x:c r="G16" s="102" t="n">
        <x:v>1068</x:v>
      </x:c>
      <x:c r="H16" s="100" t="str">
        <x:v>AJH Management; Newmark</x:v>
      </x:c>
      <x:c r="I16" s="100" t="str">
        <x:v>Two current Tier 2 reports identify a Newmark-led sale process for a 44-acre, 64-building apartment complex.</x:v>
      </x:c>
      <x:c r="J16" s="100" t="str">
        <x:v>Institutional process may need advisory, buyer financing, preferred equity, recapitalization, or lender dialogue.</x:v>
      </x:c>
      <x:c r="K16" s="100" t="str">
        <x:v>Obtain OM, bid timing, seller authority, current pricing, restrictions, T-12, and capex plan.</x:v>
      </x:c>
      <x:c r="L16" s="103" t="n">
        <x:v>32</x:v>
      </x:c>
      <x:c r="M16" s="103" t="n">
        <x:v>0</x:v>
      </x:c>
      <x:c r="N16" s="103" t="n">
        <x:v>15</x:v>
      </x:c>
      <x:c r="O16" s="103" t="n">
        <x:v>9</x:v>
      </x:c>
      <x:c r="P16" s="103" t="n">
        <x:v>15</x:v>
      </x:c>
      <x:c r="Q16" s="103" t="n">
        <x:v>5</x:v>
      </x:c>
      <x:c r="R16" s="103" t="n">
        <x:f>SUM(L16:Q16)</x:f>
        <x:v>76</x:v>
      </x:c>
      <x:c r="S16" s="100" t="str">
        <x:v>Bisnow Aug. 31 + Hoodline Sep. 1 | https://www.bisnow.com/news/philadelphia/multifamily/largest-apartment-complex-for-sale-international-city</x:v>
      </x:c>
      <x:c r="T16" s="100" t="str">
        <x:v>Carl Fiebig (215) 470-5826, Carl.Fiebig@nmrk.com; Erin Miller, Newmark</x:v>
      </x:c>
      <x:c r="U16" s="100" t="str">
        <x:v>Sale advisory; buyer financing; bridge; preferred equity; recapitalization; lender dialogue</x:v>
      </x:c>
    </x:row>
    <x:row r="18">
      <x:c r="A18" s="109" t="str">
        <x:v>Watch — 65–74: evidence or product gates still open</x:v>
      </x:c>
    </x:row>
    <x:row r="19" ht="36" customHeight="1">
      <x:c r="A19" s="119" t="str">
        <x:v>Lead ID</x:v>
      </x:c>
      <x:c r="B19" s="119" t="str">
        <x:v>Classification</x:v>
      </x:c>
      <x:c r="C19" s="119" t="str">
        <x:v>Asset / MSA</x:v>
      </x:c>
      <x:c r="D19" s="119" t="str">
        <x:v>Score</x:v>
      </x:c>
      <x:c r="E19" s="119" t="str">
        <x:v>Reason held</x:v>
      </x:c>
      <x:c r="F19" s="119" t="str">
        <x:v>Precise next verification step</x:v>
      </x:c>
    </x:row>
    <x:row r="20" ht="44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3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4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3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4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3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4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3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restrictions.</x:v>
      </x:c>
    </x:row>
    <x:row r="24" ht="44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3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4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3" t="n">
        <x:v>70</x:v>
      </x:c>
      <x:c r="E25" s="100" t="str">
        <x:v>Unit count, commercial scope, and mandate are inconsistent.</x:v>
      </x:c>
      <x:c r="F25" s="100" t="str">
        <x:v>Obtain OM, lease/rent roll, 40-versus-45-unit reconciliation, and broker mandate.</x:v>
      </x:c>
    </x:row>
    <x:row r="26" ht="44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3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4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3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4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3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restrictions check.</x:v>
      </x:c>
    </x:row>
    <x:row r="29" ht="44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3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4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3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4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3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4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3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4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3" t="n">
        <x:v>68</x:v>
      </x:c>
      <x:c r="E33" s="100" t="str">
        <x:v>Aged mandate and occupancy/regulatory evidence unresolved.</x:v>
      </x:c>
      <x:c r="F33" s="100" t="str">
        <x:v>Obtain current mandate, CO, RSO determination, title/covenants, and rent roll.</x:v>
      </x:c>
    </x:row>
    <x:row r="35">
      <x:c r="A35" s="111" t="str">
        <x:v>Excluded and coverage gaps</x:v>
      </x:c>
    </x:row>
    <x:row r="36" ht="36" customHeight="1">
      <x:c r="A36" s="119" t="str">
        <x:v>Item</x:v>
      </x:c>
      <x:c r="B36" s="119" t="str">
        <x:v>Classification</x:v>
      </x:c>
      <x:c r="C36" s="119" t="str">
        <x:v>Exclusion reason</x:v>
      </x:c>
    </x:row>
    <x:row r="37" ht="36" customHeight="1">
      <x:c r="A37" s="100" t="str">
        <x:v>Avondale Apartments, Philadelphia</x:v>
      </x:c>
      <x:c r="B37" s="100" t="str">
        <x:v>Excluded</x:v>
      </x:c>
      <x:c r="C37" s="100" t="str">
        <x:v>Current source identifies income restrictions and eligibility requirements; outside primary unrestricted queue.</x:v>
      </x:c>
    </x:row>
    <x:row r="38" ht="36" customHeight="1">
      <x:c r="A38" s="100" t="str">
        <x:v>727 Collins Ave., Miami Beach</x:v>
      </x:c>
      <x:c r="B38" s="100" t="str">
        <x:v>Excluded</x:v>
      </x:c>
      <x:c r="C38" s="100" t="str">
        <x:v>Hospitality master lease and 4,800-SF retail footprint make it materially mixed hospitality/retail.</x:v>
      </x:c>
    </x:row>
    <x:row r="39" ht="36" customHeight="1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 ht="36" customHeight="1">
      <x:c r="A40" s="100" t="str">
        <x:v>2629 NW 17th Ave., Miami</x:v>
      </x:c>
      <x:c r="B40" s="100" t="str">
        <x:v>Excluded</x:v>
      </x:c>
      <x:c r="C40" s="100" t="str">
        <x:v>Covered-land/high-density Live Local/workforce-housing development play.</x:v>
      </x:c>
    </x:row>
    <x:row r="41" ht="36" customHeight="1">
      <x:c r="A41" s="100" t="str">
        <x:v>2328–2344 N. 2nd St., Philadelphia</x:v>
      </x:c>
      <x:c r="B41" s="100" t="str">
        <x:v>Excluded</x:v>
      </x:c>
      <x:c r="C41" s="100" t="str">
        <x:v>Apartments bundled with retail suites and townhome-approved parcels.</x:v>
      </x:c>
    </x:row>
    <x:row r="42" ht="36" customHeight="1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outside primary queue pending clearing evidence or authorized mandate change.</x:v>
      </x:c>
    </x:row>
    <x:row r="44" ht="42" customHeight="1">
      <x:c r="A44" s="114" t="str">
        <x:v>Coverage limitation: targeted public-source sweep only. Named MSAs were screened; absence of a lead is not evidence that no opportunity exists. No outreach was drafted, queued, scheduled, implied, or sent.</x:v>
      </x:c>
    </x:row>
    <x:row r="45" ht="42" customHeight="1">
      <x:c r="A45" s="114" t="str">
        <x:v>Google Drive/Sheets connector unavailable: established Google Sheet and historical $20M tabs left untouched. No email was sent; email sending requires action-time confirmation.</x:v>
      </x:c>
    </x:row>
  </x:sheetData>
  <x:mergeCells>
    <x:mergeCell ref="A1:U1"/>
    <x:mergeCell ref="A2:U2"/>
    <x:mergeCell ref="A18:F18"/>
    <x:mergeCell ref="A35:C35"/>
    <x:mergeCell ref="A44:U44"/>
    <x:mergeCell ref="A45:U45"/>
  </x:mergeCells>
  <x:conditionalFormatting sqref="R10:R16">
    <x:cfRule type="cellIs" dxfId="1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e599cb2c7f784e79"/>
    <x:tablePart xmlns:r="http://schemas.openxmlformats.org/officeDocument/2006/relationships" r:id="Rd6acb7a008784f42"/>
    <x:tablePart xmlns:r="http://schemas.openxmlformats.org/officeDocument/2006/relationships" r:id="Rd12e769f60254138"/>
  </x:tableParts>
</x:worksheet>
</file>