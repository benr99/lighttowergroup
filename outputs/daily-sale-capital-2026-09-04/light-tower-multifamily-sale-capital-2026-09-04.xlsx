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181aebd6b74d4d" /></Relationships>
</file>

<file path=xl/workbook.xml><?xml version="1.0" encoding="utf-8"?>
<x:workbook xmlns:x="http://schemas.openxmlformats.org/spreadsheetml/2006/main">
  <x:sheets>
    <x:sheet xmlns:r="http://schemas.openxmlformats.org/officeDocument/2006/relationships" name="Summary" sheetId="1" r:id="R57451ba833024c87"/>
    <x:sheet xmlns:r="http://schemas.openxmlformats.org/officeDocument/2006/relationships" name="Action Queue" sheetId="2" r:id="Rbc66b292bc9a474e"/>
    <x:sheet xmlns:r="http://schemas.openxmlformats.org/officeDocument/2006/relationships" name="Watch" sheetId="3" r:id="R0e7a649c98824176"/>
    <x:sheet xmlns:r="http://schemas.openxmlformats.org/officeDocument/2006/relationships" name="Exclusions" sheetId="4" r:id="R7edaaa5bcf654e5b"/>
    <x:sheet xmlns:r="http://schemas.openxmlformats.org/officeDocument/2006/relationships" name="Coverage &amp; Sources" sheetId="5" r:id="R6945ec3184e24056"/>
    <x:sheet xmlns:r="http://schemas.openxmlformats.org/officeDocument/2006/relationships" name="Run 2026-08-30" sheetId="6" r:id="Ra1ca2562252f4370"/>
    <x:sheet xmlns:r="http://schemas.openxmlformats.org/officeDocument/2006/relationships" name="Run 2026-08-31" sheetId="7" r:id="Red805b12019947e7"/>
    <x:sheet xmlns:r="http://schemas.openxmlformats.org/officeDocument/2006/relationships" name="Run 2026-09-01" sheetId="8" r:id="R251023cbd8a34ed2"/>
    <x:sheet xmlns:r="http://schemas.openxmlformats.org/officeDocument/2006/relationships" name="Run 2026-09-02" sheetId="9" r:id="Rb67a9749b5d94dd8"/>
    <x:sheet xmlns:r="http://schemas.openxmlformats.org/officeDocument/2006/relationships" name="Run 2026-09-03" sheetId="10" r:id="R2bf8564aa12c42cd"/>
    <x:sheet xmlns:r="http://schemas.openxmlformats.org/officeDocument/2006/relationships" name="Run 2026-09-04" sheetId="11" r:id="R9e9b12a003ee488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quot;$&quot;#,##0;[Red](&quot;$&quot;#,##0);-"/>
    <x:numFmt numFmtId="202" formatCode="yyyy-mm-dd"/>
    <x:numFmt numFmtId="203" formatCode="$#,##0;[Red]($#,##0);-"/>
    <x:numFmt numFmtId="204" formatCode="0"/>
  </x:numFmts>
  <x:fonts count="8">
    <x:font>
      <x:sz val="11"/>
      <x:name val="Carlito"/>
    </x:font>
    <x:font>
      <x:b/>
      <x:sz val="16"/>
      <x:color rgb="FFFFFFFF"/>
      <x:name val="Carlito"/>
    </x:font>
    <x:font>
      <x:i/>
      <x:sz val="11"/>
      <x:color rgb="FF374151"/>
      <x:name val="Carlito"/>
    </x:font>
    <x:font>
      <x:b/>
      <x:sz val="11"/>
      <x:color rgb="FFFFFFFF"/>
      <x:name val="Carlito"/>
    </x:font>
    <x:font>
      <x:b/>
      <x:sz val="15"/>
      <x:color rgb="FFFFFFFF"/>
      <x:name val="Carlito"/>
    </x:font>
    <x:font>
      <x:i/>
      <x:sz val="11"/>
      <x:color rgb="FF102A43"/>
      <x:name val="Carlito"/>
    </x:font>
    <x:font>
      <x:b/>
      <x:sz val="11"/>
      <x:name val="Carlito"/>
    </x:font>
    <x:font>
      <x:b/>
      <x:sz val="11"/>
      <x:color rgb="FF102A43"/>
      <x:name val="Carlito"/>
    </x:font>
  </x:fonts>
  <x:fills count="42">
    <x:fill>
      <x:patternFill patternType="none"/>
    </x:fill>
    <x:fill>
      <x:patternFill patternType="gray125"/>
    </x:fill>
    <x:fill>
      <x:patternFill patternType="solid">
        <x:fgColor rgb="FF102A43"/>
      </x:patternFill>
    </x:fill>
    <x:fill>
      <x:patternFill patternType="solid">
        <x:fgColor rgb="FFE8F1F8"/>
      </x:patternFill>
    </x:fill>
    <x:fill>
      <x:patternFill patternType="solid">
        <x:fgColor rgb="FF1F5A8A"/>
      </x:patternFill>
    </x:fill>
    <x:fill>
      <x:patternFill patternType="solid">
        <x:fgColor rgb="FFFFF4CC"/>
      </x:patternFill>
    </x:fill>
    <x:fill>
      <x:patternFill patternType="solid">
        <x:fgColor rgb="FFE8F5E9"/>
      </x:patternFill>
    </x:fill>
    <x:fill>
      <x:patternFill patternType="solid">
        <x:fgColor rgb="FFFDECEC"/>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EAF2F8"/>
      </x:patternFill>
    </x:fill>
    <x:fill>
      <x:patternFill patternType="solid">
        <x:fgColor rgb="FF486581"/>
      </x:patternFill>
    </x:fill>
    <x:fill>
      <x:patternFill patternType="solid">
        <x:fgColor rgb="FFF3F4F6"/>
      </x:patternFill>
    </x:fill>
    <x:fill>
      <x:patternFill patternType="solid">
        <x:fgColor rgb="FFD9EAD3"/>
      </x:patternFill>
    </x:fill>
    <x:fill>
      <x:patternFill patternType="solid">
        <x:fgColor rgb="FF8A6D1D"/>
      </x:patternFill>
    </x:fill>
    <x:fill>
      <x:patternFill patternType="solid">
        <x:fgColor rgb="FFFFF2CC"/>
      </x:patternFill>
    </x:fill>
    <x:fill>
      <x:patternFill patternType="solid">
        <x:fgColor rgb="FF9B3A1D"/>
      </x:patternFill>
    </x:fill>
    <x:fill>
      <x:patternFill patternType="solid">
        <x:fgColor rgb="FFFCE4D6"/>
      </x:patternFill>
    </x:fill>
  </x:fills>
  <x:borders count="22">
    <x:border/>
    <x:border>
      <x:left style="thin">
        <x:color rgb="FF7B8794"/>
      </x:left>
      <x:top style="thin">
        <x:color rgb="FF7B8794"/>
      </x:top>
      <x:bottom style="thin">
        <x:color rgb="FF7B8794"/>
      </x:bottom>
    </x:border>
    <x:border>
      <x:right style="thin">
        <x:color rgb="FF7B8794"/>
      </x:right>
      <x:top style="thin">
        <x:color rgb="FF7B8794"/>
      </x:top>
      <x:bottom style="thin">
        <x:color rgb="FF7B8794"/>
      </x:bottom>
    </x:border>
    <x:border>
      <x:left style="thin">
        <x:color rgb="FF7B8794"/>
      </x:left>
      <x:right style="thin">
        <x:color rgb="FFD9E2EC"/>
      </x:right>
      <x:top style="thin">
        <x:color rgb="FF7B8794"/>
      </x:top>
      <x:bottom style="thin">
        <x:color rgb="FFD9E2EC"/>
      </x:bottom>
    </x:border>
    <x:border>
      <x:left style="thin">
        <x:color rgb="FFD9E2EC"/>
      </x:left>
      <x:top style="thin">
        <x:color rgb="FF7B8794"/>
      </x:top>
      <x:bottom style="thin">
        <x:color rgb="FFD9E2EC"/>
      </x:bottom>
    </x:border>
    <x:border>
      <x:left style="thin">
        <x:color rgb="FF7B8794"/>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7B8794"/>
      </x:left>
      <x:right style="thin">
        <x:color rgb="FFD9E2EC"/>
      </x:right>
      <x:top style="thin">
        <x:color rgb="FFD9E2EC"/>
      </x:top>
      <x:bottom style="thin">
        <x:color rgb="FF7B8794"/>
      </x:bottom>
    </x:border>
    <x:border>
      <x:left style="thin">
        <x:color rgb="FFD9E2EC"/>
      </x:left>
      <x:top style="thin">
        <x:color rgb="FFD9E2EC"/>
      </x:top>
      <x:bottom style="thin">
        <x:color rgb="FF7B8794"/>
      </x:bottom>
    </x:border>
    <x:border>
      <x:top style="thin">
        <x:color rgb="FF7B8794"/>
      </x:top>
      <x:bottom style="thin">
        <x:color rgb="FF7B8794"/>
      </x:bottom>
    </x:border>
    <x:border>
      <x:left style="thin">
        <x:color rgb="FFD9E2EC"/>
      </x:left>
      <x:right style="thin">
        <x:color rgb="FFD9E2EC"/>
      </x:right>
      <x:top style="thin">
        <x:color rgb="FF7B8794"/>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7B8794"/>
      </x:bottom>
    </x:border>
    <x:border>
      <x:left style="thin">
        <x:color rgb="FFD9E2F3"/>
      </x:left>
      <x:right style="thin">
        <x:color rgb="FFD9E2F3"/>
      </x:right>
      <x:top style="thin">
        <x:color rgb="FFD9E2F3"/>
      </x:top>
      <x:bottom style="thin">
        <x:color rgb="FFD9E2F3"/>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s>
  <x:cellStyleXfs count="1">
    <x:xf numFmtId="0" fontId="0" fillId="0" borderId="0"/>
  </x:cellStyleXfs>
  <x:cellXfs count="2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6" borderId="11" xfId="0" applyNumberFormat="1" applyFont="1" applyFill="1" applyBorder="1" applyAlignment="1">
      <x:alignment vertical="top" wrapText="1"/>
    </x:xf>
    <x:xf numFmtId="200" fontId="0" fillId="6" borderId="12" xfId="0" applyNumberFormat="1" applyFont="1" applyFill="1" applyBorder="1" applyAlignment="1">
      <x:alignment vertical="top" wrapText="1"/>
    </x:xf>
    <x:xf numFmtId="200" fontId="0" fillId="5" borderId="11"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left"/>
    </x:xf>
    <x:xf numFmtId="0" fontId="4" fillId="8" borderId="0"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3" xfId="0" applyNumberFormat="1" applyFont="1" applyFill="1" applyBorder="1"/>
    <x:xf numFmtId="0" fontId="0" fillId="0" borderId="13" xfId="0" applyNumberFormat="1" applyFont="1" applyFill="1" applyBorder="1"/>
    <x:xf numFmtId="0" fontId="6" fillId="0" borderId="13" xfId="0" applyNumberFormat="1" applyFont="1" applyFill="1" applyBorder="1"/>
    <x:xf numFmtId="0" fontId="6" fillId="0" borderId="13" xfId="0" applyNumberFormat="1" applyFont="1" applyFill="1" applyBorder="1" applyAlignment="1">
      <x:alignment horizontal="right"/>
    </x:xf>
    <x:xf numFmtId="0" fontId="3" fillId="8"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borderId="13"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3"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203" fontId="0" fillId="0" borderId="13" xfId="0" applyNumberFormat="1" applyFont="1" applyFill="1" applyBorder="1" applyAlignment="1">
      <x:alignment horizontal="right" vertical="top" wrapText="1"/>
    </x:xf>
    <x:xf numFmtId="0" fontId="0" fillId="11" borderId="0" xfId="0" applyNumberFormat="1" applyFont="1" applyFill="1" applyBorder="1"/>
    <x:xf numFmtId="0" fontId="7" fillId="11" borderId="0" xfId="0" applyNumberFormat="1" applyFont="1" applyFill="1" applyBorder="1"/>
    <x:xf numFmtId="0" fontId="3" fillId="10" borderId="13" xfId="0" applyNumberFormat="1" applyFont="1" applyFill="1" applyBorder="1" applyAlignment="1">
      <x:alignment horizontal="center" wrapText="1"/>
    </x:xf>
    <x:xf numFmtId="0" fontId="0" fillId="0" borderId="13"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3" fillId="10" borderId="0" xfId="0" applyNumberFormat="1" applyFont="1" applyFill="1" applyBorder="1" applyAlignment="1">
      <x:alignment horizontal="center"/>
    </x:xf>
    <x:xf numFmtId="0" fontId="3" fillId="10" borderId="13" xfId="0" applyNumberFormat="1" applyFont="1" applyFill="1" applyBorder="1" applyAlignment="1">
      <x:alignment horizontal="center"/>
    </x:xf>
    <x:xf numFmtId="0" fontId="4" fillId="8" borderId="0" xfId="0" applyNumberFormat="1" applyFont="1" applyFill="1" applyBorder="1" applyAlignment="1">
      <x:alignment horizontal="left" vertical="top"/>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left"/>
    </x:xf>
    <x:xf numFmtId="0" fontId="4" fillId="13" borderId="0" xfId="0" applyNumberFormat="1" applyFont="1" applyFill="1" applyBorder="1" applyAlignment="1">
      <x:alignment horizontal="left" vertic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13" xfId="0" applyNumberFormat="1" applyFont="1" applyFill="1" applyBorder="1"/>
    <x:xf numFmtId="0" fontId="3" fillId="13"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0" fontId="3" fillId="15" borderId="13" xfId="0" applyNumberFormat="1" applyFont="1" applyFill="1" applyBorder="1" applyAlignment="1">
      <x:alignment horizontal="center" vertical="center" wrapText="1"/>
    </x:xf>
    <x:xf numFmtId="0" fontId="0" fillId="16" borderId="0" xfId="0" applyNumberFormat="1" applyFont="1" applyFill="1" applyBorder="1"/>
    <x:xf numFmtId="0" fontId="7" fillId="16" borderId="0" xfId="0" applyNumberFormat="1" applyFont="1" applyFill="1" applyBorder="1"/>
    <x:xf numFmtId="0" fontId="3" fillId="15" borderId="13" xfId="0" applyNumberFormat="1" applyFont="1" applyFill="1" applyBorder="1" applyAlignment="1">
      <x:alignment horizontal="center" wrapText="1"/>
    </x:xf>
    <x:xf numFmtId="0" fontId="0" fillId="17" borderId="0" xfId="0" applyNumberFormat="1" applyFont="1" applyFill="1" applyBorder="1"/>
    <x:xf numFmtId="0" fontId="7" fillId="17" borderId="0" xfId="0" applyNumberFormat="1" applyFont="1" applyFill="1" applyBorder="1"/>
    <x:xf numFmtId="0" fontId="3" fillId="15" borderId="0" xfId="0" applyNumberFormat="1" applyFont="1" applyFill="1" applyBorder="1" applyAlignment="1">
      <x:alignment horizontal="center"/>
    </x:xf>
    <x:xf numFmtId="0" fontId="3" fillId="15" borderId="13" xfId="0" applyNumberFormat="1" applyFont="1" applyFill="1" applyBorder="1" applyAlignment="1">
      <x:alignment horizontal="center"/>
    </x:xf>
    <x:xf numFmtId="0" fontId="4" fillId="13" borderId="0" xfId="0" applyNumberFormat="1" applyFont="1" applyFill="1" applyBorder="1" applyAlignment="1">
      <x:alignment horizontal="left" vertical="top"/>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left"/>
    </x:xf>
    <x:xf numFmtId="0" fontId="4" fillId="18" borderId="0" xfId="0" applyNumberFormat="1" applyFont="1" applyFill="1" applyBorder="1" applyAlignment="1">
      <x:alignment horizontal="left"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borderId="13" xfId="0" applyNumberFormat="1" applyFont="1" applyFill="1" applyBorder="1"/>
    <x:xf numFmtId="0" fontId="3" fillId="18"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0" borderId="0" xfId="0" applyNumberFormat="1" applyFont="1" applyFill="1" applyBorder="1" applyAlignment="1">
      <x:alignment horizontal="center" vertical="center" wrapText="1"/>
    </x:xf>
    <x:xf numFmtId="0" fontId="3" fillId="20" borderId="13" xfId="0" applyNumberFormat="1" applyFont="1" applyFill="1" applyBorder="1" applyAlignment="1">
      <x:alignment horizontal="center" vertical="center" wrapText="1"/>
    </x:xf>
    <x:xf numFmtId="0" fontId="0" fillId="21" borderId="0" xfId="0" applyNumberFormat="1" applyFont="1" applyFill="1" applyBorder="1"/>
    <x:xf numFmtId="0" fontId="7" fillId="21" borderId="0" xfId="0" applyNumberFormat="1" applyFont="1" applyFill="1" applyBorder="1"/>
    <x:xf numFmtId="0" fontId="3" fillId="20" borderId="13" xfId="0" applyNumberFormat="1" applyFont="1" applyFill="1" applyBorder="1" applyAlignment="1">
      <x:alignment horizontal="center" wrapText="1"/>
    </x:xf>
    <x:xf numFmtId="0" fontId="0" fillId="22" borderId="0" xfId="0" applyNumberFormat="1" applyFont="1" applyFill="1" applyBorder="1"/>
    <x:xf numFmtId="0" fontId="7" fillId="22" borderId="0" xfId="0" applyNumberFormat="1" applyFont="1" applyFill="1" applyBorder="1"/>
    <x:xf numFmtId="0" fontId="3" fillId="20" borderId="0" xfId="0" applyNumberFormat="1" applyFont="1" applyFill="1" applyBorder="1" applyAlignment="1">
      <x:alignment horizontal="center"/>
    </x:xf>
    <x:xf numFmtId="0" fontId="3" fillId="20" borderId="13" xfId="0" applyNumberFormat="1" applyFont="1" applyFill="1" applyBorder="1" applyAlignment="1">
      <x:alignment horizontal="center"/>
    </x:xf>
    <x:xf numFmtId="0" fontId="4" fillId="18" borderId="0" xfId="0" applyNumberFormat="1" applyFont="1" applyFill="1" applyBorder="1" applyAlignment="1">
      <x:alignment horizontal="left" vertical="top"/>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left"/>
    </x:xf>
    <x:xf numFmtId="0" fontId="4" fillId="23" borderId="0" xfId="0" applyNumberFormat="1" applyFont="1" applyFill="1" applyBorder="1" applyAlignment="1">
      <x:alignment horizontal="left" vertical="center"/>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0" fillId="25" borderId="0" xfId="0" applyNumberFormat="1" applyFont="1" applyFill="1" applyBorder="1"/>
    <x:xf numFmtId="0" fontId="3" fillId="25" borderId="0" xfId="0" applyNumberFormat="1" applyFont="1" applyFill="1" applyBorder="1"/>
    <x:xf numFmtId="0" fontId="3" fillId="25" borderId="13" xfId="0" applyNumberFormat="1" applyFont="1" applyFill="1" applyBorder="1"/>
    <x:xf numFmtId="0" fontId="3" fillId="23"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3" fillId="25" borderId="0" xfId="0" applyNumberFormat="1" applyFont="1" applyFill="1" applyBorder="1" applyAlignment="1">
      <x:alignment horizontal="center" vertical="center" wrapText="1"/>
    </x:xf>
    <x:xf numFmtId="0" fontId="3" fillId="25" borderId="13" xfId="0" applyNumberFormat="1" applyFont="1" applyFill="1" applyBorder="1" applyAlignment="1">
      <x:alignment horizontal="center" vertical="center" wrapText="1"/>
    </x:xf>
    <x:xf numFmtId="0" fontId="0" fillId="26" borderId="0" xfId="0" applyNumberFormat="1" applyFont="1" applyFill="1" applyBorder="1"/>
    <x:xf numFmtId="0" fontId="7" fillId="26" borderId="0" xfId="0" applyNumberFormat="1" applyFont="1" applyFill="1" applyBorder="1"/>
    <x:xf numFmtId="0" fontId="3" fillId="25" borderId="13" xfId="0" applyNumberFormat="1" applyFont="1" applyFill="1" applyBorder="1" applyAlignment="1">
      <x:alignment horizontal="center" wrapText="1"/>
    </x:xf>
    <x:xf numFmtId="0" fontId="0" fillId="27" borderId="0" xfId="0" applyNumberFormat="1" applyFont="1" applyFill="1" applyBorder="1"/>
    <x:xf numFmtId="0" fontId="7" fillId="27" borderId="0" xfId="0" applyNumberFormat="1" applyFont="1" applyFill="1" applyBorder="1"/>
    <x:xf numFmtId="0" fontId="3" fillId="25" borderId="0" xfId="0" applyNumberFormat="1" applyFont="1" applyFill="1" applyBorder="1" applyAlignment="1">
      <x:alignment horizontal="center"/>
    </x:xf>
    <x:xf numFmtId="0" fontId="3" fillId="25" borderId="13" xfId="0" applyNumberFormat="1" applyFont="1" applyFill="1" applyBorder="1" applyAlignment="1">
      <x:alignment horizontal="center"/>
    </x:xf>
    <x:xf numFmtId="0" fontId="4" fillId="23" borderId="0" xfId="0" applyNumberFormat="1" applyFont="1" applyFill="1" applyBorder="1" applyAlignment="1">
      <x:alignment horizontal="left" vertical="top"/>
    </x:xf>
    <x:xf numFmtId="0" fontId="0" fillId="28" borderId="0" xfId="0" applyNumberFormat="1" applyFont="1" applyFill="1" applyBorder="1"/>
    <x:xf numFmtId="0" fontId="4" fillId="28" borderId="0" xfId="0" applyNumberFormat="1" applyFont="1" applyFill="1" applyBorder="1"/>
    <x:xf numFmtId="0" fontId="4" fillId="28" borderId="0" xfId="0" applyNumberFormat="1" applyFont="1" applyFill="1" applyBorder="1" applyAlignment="1">
      <x:alignment horizontal="left"/>
    </x:xf>
    <x:xf numFmtId="0" fontId="4" fillId="28" borderId="0" xfId="0" applyNumberFormat="1" applyFont="1" applyFill="1" applyBorder="1" applyAlignment="1">
      <x:alignment horizontal="left" vertical="center"/>
    </x:xf>
    <x:xf numFmtId="0" fontId="0" fillId="29" borderId="0" xfId="0" applyNumberFormat="1" applyFont="1" applyFill="1" applyBorder="1"/>
    <x:xf numFmtId="0" fontId="5" fillId="29" borderId="0" xfId="0" applyNumberFormat="1" applyFont="1" applyFill="1" applyBorder="1"/>
    <x:xf numFmtId="0" fontId="5" fillId="29" borderId="0" xfId="0" applyNumberFormat="1" applyFont="1" applyFill="1" applyBorder="1" applyAlignment="1">
      <x:alignment wrapText="1"/>
    </x:xf>
    <x:xf numFmtId="0" fontId="5" fillId="29" borderId="0" xfId="0" applyNumberFormat="1" applyFont="1" applyFill="1" applyBorder="1" applyAlignment="1">
      <x:alignment vertical="center" wrapText="1"/>
    </x:xf>
    <x:xf numFmtId="0" fontId="0" fillId="30" borderId="0" xfId="0" applyNumberFormat="1" applyFont="1" applyFill="1" applyBorder="1"/>
    <x:xf numFmtId="0" fontId="3" fillId="30" borderId="0" xfId="0" applyNumberFormat="1" applyFont="1" applyFill="1" applyBorder="1"/>
    <x:xf numFmtId="0" fontId="3" fillId="30" borderId="13" xfId="0" applyNumberFormat="1" applyFont="1" applyFill="1" applyBorder="1"/>
    <x:xf numFmtId="0" fontId="3" fillId="28" borderId="0" xfId="0" applyNumberFormat="1" applyFont="1" applyFill="1" applyBorder="1"/>
    <x:xf numFmtId="0" fontId="3" fillId="30" borderId="0" xfId="0" applyNumberFormat="1" applyFont="1" applyFill="1" applyBorder="1" applyAlignment="1">
      <x:alignment wrapText="1"/>
    </x:xf>
    <x:xf numFmtId="0" fontId="3" fillId="30" borderId="0" xfId="0" applyNumberFormat="1" applyFont="1" applyFill="1" applyBorder="1" applyAlignment="1">
      <x:alignment horizontal="center" wrapText="1"/>
    </x:xf>
    <x:xf numFmtId="0" fontId="3" fillId="30" borderId="0" xfId="0" applyNumberFormat="1" applyFont="1" applyFill="1" applyBorder="1" applyAlignment="1">
      <x:alignment horizontal="center" vertical="center" wrapText="1"/>
    </x:xf>
    <x:xf numFmtId="0" fontId="3" fillId="30" borderId="13" xfId="0" applyNumberFormat="1" applyFont="1" applyFill="1" applyBorder="1" applyAlignment="1">
      <x:alignment horizontal="center" vertical="center" wrapText="1"/>
    </x:xf>
    <x:xf numFmtId="0" fontId="0" fillId="31" borderId="0" xfId="0" applyNumberFormat="1" applyFont="1" applyFill="1" applyBorder="1"/>
    <x:xf numFmtId="0" fontId="7" fillId="31" borderId="0" xfId="0" applyNumberFormat="1" applyFont="1" applyFill="1" applyBorder="1"/>
    <x:xf numFmtId="0" fontId="3" fillId="30" borderId="13" xfId="0" applyNumberFormat="1" applyFont="1" applyFill="1" applyBorder="1" applyAlignment="1">
      <x:alignment horizontal="center" wrapText="1"/>
    </x:xf>
    <x:xf numFmtId="0" fontId="0" fillId="32" borderId="0" xfId="0" applyNumberFormat="1" applyFont="1" applyFill="1" applyBorder="1"/>
    <x:xf numFmtId="0" fontId="7" fillId="32" borderId="0" xfId="0" applyNumberFormat="1" applyFont="1" applyFill="1" applyBorder="1"/>
    <x:xf numFmtId="0" fontId="3" fillId="30" borderId="0" xfId="0" applyNumberFormat="1" applyFont="1" applyFill="1" applyBorder="1" applyAlignment="1">
      <x:alignment horizontal="center"/>
    </x:xf>
    <x:xf numFmtId="0" fontId="3" fillId="30" borderId="13" xfId="0" applyNumberFormat="1" applyFont="1" applyFill="1" applyBorder="1" applyAlignment="1">
      <x:alignment horizontal="center"/>
    </x:xf>
    <x:xf numFmtId="0" fontId="4" fillId="28" borderId="0" xfId="0" applyNumberFormat="1" applyFont="1" applyFill="1" applyBorder="1" applyAlignment="1">
      <x:alignment horizontal="left" vertical="top"/>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left"/>
    </x:xf>
    <x:xf numFmtId="0" fontId="1" fillId="33" borderId="0" xfId="0" applyNumberFormat="1" applyFont="1" applyFill="1" applyBorder="1" applyAlignment="1">
      <x:alignment horizontal="left" vertical="center"/>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vertical="center"/>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vertical="center"/>
    </x:xf>
    <x:xf numFmtId="0" fontId="0" fillId="36" borderId="0" xfId="0" applyNumberFormat="1" applyFont="1" applyFill="1" applyBorder="1"/>
    <x:xf numFmtId="0" fontId="0" fillId="36" borderId="14" xfId="0" applyNumberFormat="1" applyFont="1" applyFill="1" applyBorder="1"/>
    <x:xf numFmtId="0" fontId="0" fillId="36" borderId="15" xfId="0" applyNumberFormat="1" applyFont="1" applyFill="1" applyBorder="1"/>
    <x:xf numFmtId="0" fontId="0" fillId="36" borderId="16" xfId="0" applyNumberFormat="1" applyFont="1" applyFill="1" applyBorder="1"/>
    <x:xf numFmtId="0" fontId="0" fillId="36" borderId="17" xfId="0" applyNumberFormat="1" applyFont="1" applyFill="1" applyBorder="1"/>
    <x:xf numFmtId="0" fontId="0" fillId="36" borderId="18" xfId="0" applyNumberFormat="1" applyFont="1" applyFill="1" applyBorder="1"/>
    <x:xf numFmtId="0" fontId="0" fillId="36" borderId="19" xfId="0" applyNumberFormat="1" applyFont="1" applyFill="1" applyBorder="1"/>
    <x:xf numFmtId="0" fontId="0" fillId="36" borderId="14" xfId="0" applyNumberFormat="1" applyFont="1" applyFill="1" applyBorder="1" applyAlignment="1">
      <x:alignment wrapText="1"/>
    </x:xf>
    <x:xf numFmtId="0" fontId="0" fillId="36" borderId="15" xfId="0" applyNumberFormat="1" applyFont="1" applyFill="1" applyBorder="1" applyAlignment="1">
      <x:alignment wrapText="1"/>
    </x:xf>
    <x:xf numFmtId="0" fontId="0" fillId="36" borderId="16" xfId="0" applyNumberFormat="1" applyFont="1" applyFill="1" applyBorder="1" applyAlignment="1">
      <x:alignment wrapText="1"/>
    </x:xf>
    <x:xf numFmtId="0" fontId="0" fillId="36" borderId="17" xfId="0" applyNumberFormat="1" applyFont="1" applyFill="1" applyBorder="1" applyAlignment="1">
      <x:alignment wrapText="1"/>
    </x:xf>
    <x:xf numFmtId="0" fontId="0" fillId="36" borderId="18" xfId="0" applyNumberFormat="1" applyFont="1" applyFill="1" applyBorder="1" applyAlignment="1">
      <x:alignment wrapText="1"/>
    </x:xf>
    <x:xf numFmtId="0" fontId="0" fillId="36" borderId="19" xfId="0" applyNumberFormat="1" applyFont="1" applyFill="1" applyBorder="1" applyAlignment="1">
      <x:alignment wrapText="1"/>
    </x:xf>
    <x:xf numFmtId="0" fontId="0" fillId="36" borderId="14" xfId="0" applyNumberFormat="1" applyFont="1" applyFill="1" applyBorder="1" applyAlignment="1">
      <x:alignment vertical="top" wrapText="1"/>
    </x:xf>
    <x:xf numFmtId="0" fontId="0" fillId="36" borderId="15" xfId="0" applyNumberFormat="1" applyFont="1" applyFill="1" applyBorder="1" applyAlignment="1">
      <x:alignment vertical="top" wrapText="1"/>
    </x:xf>
    <x:xf numFmtId="0" fontId="0" fillId="36" borderId="16" xfId="0" applyNumberFormat="1" applyFont="1" applyFill="1" applyBorder="1" applyAlignment="1">
      <x:alignment vertical="top" wrapText="1"/>
    </x:xf>
    <x:xf numFmtId="0" fontId="0" fillId="36" borderId="17" xfId="0" applyNumberFormat="1" applyFont="1" applyFill="1" applyBorder="1" applyAlignment="1">
      <x:alignment vertical="top" wrapText="1"/>
    </x:xf>
    <x:xf numFmtId="0" fontId="0" fillId="36" borderId="18" xfId="0" applyNumberFormat="1" applyFont="1" applyFill="1" applyBorder="1" applyAlignment="1">
      <x:alignment vertical="top" wrapText="1"/>
    </x:xf>
    <x:xf numFmtId="0" fontId="0" fillId="36" borderId="19" xfId="0" applyNumberFormat="1" applyFont="1" applyFill="1" applyBorder="1" applyAlignment="1">
      <x:alignment vertical="top" wrapText="1"/>
    </x:xf>
    <x:xf numFmtId="0" fontId="3" fillId="33" borderId="0" xfId="0" applyNumberFormat="1" applyFont="1" applyFill="1" applyBorder="1"/>
    <x:xf numFmtId="0" fontId="3" fillId="33" borderId="0" xfId="0" applyNumberFormat="1" applyFont="1" applyFill="1" applyBorder="1" applyAlignment="1">
      <x:alignment vertical="center"/>
    </x:xf>
    <x:xf numFmtId="0" fontId="3" fillId="35" borderId="11" xfId="0" applyNumberFormat="1" applyFont="1" applyFill="1" applyBorder="1"/>
    <x:xf numFmtId="0" fontId="3" fillId="35" borderId="11" xfId="0" applyNumberFormat="1" applyFont="1" applyFill="1" applyBorder="1" applyAlignment="1">
      <x:alignment wrapText="1"/>
    </x:xf>
    <x:xf numFmtId="0" fontId="3" fillId="35" borderId="11" xfId="0" applyNumberFormat="1" applyFont="1" applyFill="1" applyBorder="1" applyAlignment="1">
      <x:alignment horizontal="center" wrapText="1"/>
    </x:xf>
    <x:xf numFmtId="0" fontId="3" fillId="35" borderId="11" xfId="0" applyNumberFormat="1" applyFont="1" applyFill="1" applyBorder="1" applyAlignment="1">
      <x:alignment horizontal="center" vertical="center" wrapText="1"/>
    </x:xf>
    <x:xf numFmtId="0" fontId="0" fillId="0" borderId="11" xfId="0" applyNumberFormat="1" applyFont="1" applyFill="1" applyBorder="1"/>
    <x:xf numFmtId="0" fontId="0" fillId="0" borderId="11" xfId="0" applyNumberFormat="1" applyFont="1" applyFill="1" applyBorder="1" applyAlignment="1">
      <x:alignment wrapText="1"/>
    </x:xf>
    <x:xf numFmtId="0" fontId="0" fillId="37" borderId="11" xfId="0" applyNumberFormat="1" applyFont="1" applyFill="1" applyBorder="1" applyAlignment="1">
      <x:alignment vertical="top" wrapText="1"/>
    </x:xf>
    <x:xf numFmtId="0" fontId="6" fillId="37" borderId="11" xfId="0" applyNumberFormat="1" applyFont="1" applyFill="1" applyBorder="1" applyAlignment="1">
      <x:alignment vertical="top" wrapText="1"/>
    </x:xf>
    <x:xf numFmtId="0" fontId="6" fillId="37" borderId="11" xfId="0" applyNumberFormat="1" applyFont="1" applyFill="1" applyBorder="1" applyAlignment="1">
      <x:alignment horizontal="center" vertical="top" wrapText="1"/>
    </x:xf>
    <x:xf numFmtId="0" fontId="6" fillId="37" borderId="11" xfId="0" applyNumberFormat="1" applyFont="1" applyFill="1" applyBorder="1" applyAlignment="1">
      <x:alignment horizontal="center" vertical="center" wrapText="1"/>
    </x:xf>
    <x:xf numFmtId="204" fontId="0" fillId="0" borderId="11" xfId="0" applyNumberFormat="1" applyFont="1" applyFill="1" applyBorder="1" applyAlignment="1">
      <x:alignment vertical="top" wrapText="1"/>
    </x:xf>
    <x:xf numFmtId="204" fontId="6" fillId="37" borderId="11" xfId="0" applyNumberFormat="1" applyFont="1" applyFill="1" applyBorder="1" applyAlignment="1">
      <x:alignment horizontal="center" vertical="center" wrapText="1"/>
    </x:xf>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vertical="center"/>
    </x:xf>
    <x:xf numFmtId="0" fontId="0" fillId="39" borderId="0" xfId="0" applyNumberFormat="1" applyFont="1" applyFill="1" applyBorder="1"/>
    <x:xf numFmtId="0" fontId="7" fillId="39" borderId="0" xfId="0" applyNumberFormat="1" applyFont="1" applyFill="1" applyBorder="1"/>
    <x:xf numFmtId="0" fontId="7" fillId="39" borderId="11" xfId="0" applyNumberFormat="1" applyFont="1" applyFill="1" applyBorder="1"/>
    <x:xf numFmtId="0" fontId="7" fillId="39" borderId="11" xfId="0" applyNumberFormat="1" applyFont="1" applyFill="1" applyBorder="1" applyAlignment="1">
      <x:alignment wrapText="1"/>
    </x:xf>
    <x:xf numFmtId="0" fontId="7" fillId="39" borderId="11" xfId="0" applyNumberFormat="1" applyFont="1" applyFill="1" applyBorder="1" applyAlignment="1">
      <x:alignment vertical="center" wrapText="1"/>
    </x:xf>
    <x:xf numFmtId="0" fontId="0" fillId="39" borderId="11" xfId="0" applyNumberFormat="1" applyFont="1" applyFill="1" applyBorder="1" applyAlignment="1">
      <x:alignment vertical="top" wrapText="1"/>
    </x:xf>
    <x:xf numFmtId="0" fontId="6" fillId="39" borderId="11" xfId="0" applyNumberFormat="1" applyFont="1" applyFill="1" applyBorder="1" applyAlignment="1">
      <x:alignment vertical="top" wrapText="1"/>
    </x:xf>
    <x:xf numFmtId="0" fontId="6" fillId="39" borderId="11" xfId="0" applyNumberFormat="1" applyFont="1" applyFill="1" applyBorder="1" applyAlignment="1">
      <x:alignment horizontal="center" vertical="top" wrapText="1"/>
    </x:xf>
    <x:xf numFmtId="0" fontId="6" fillId="39" borderId="11" xfId="0" applyNumberFormat="1" applyFont="1" applyFill="1" applyBorder="1" applyAlignment="1">
      <x:alignment horizontal="center" vertic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vertical="center"/>
    </x:xf>
    <x:xf numFmtId="0" fontId="0" fillId="41" borderId="0" xfId="0" applyNumberFormat="1" applyFont="1" applyFill="1" applyBorder="1"/>
    <x:xf numFmtId="0" fontId="7" fillId="41" borderId="0" xfId="0" applyNumberFormat="1" applyFont="1" applyFill="1" applyBorder="1"/>
    <x:xf numFmtId="0" fontId="7" fillId="41" borderId="11" xfId="0" applyNumberFormat="1" applyFont="1" applyFill="1" applyBorder="1"/>
    <x:xf numFmtId="0" fontId="7" fillId="41" borderId="11" xfId="0" applyNumberFormat="1" applyFont="1" applyFill="1" applyBorder="1" applyAlignment="1">
      <x:alignment wrapText="1"/>
    </x:xf>
    <x:xf numFmtId="0" fontId="7" fillId="41" borderId="11" xfId="0" applyNumberFormat="1" applyFont="1" applyFill="1" applyBorder="1" applyAlignment="1">
      <x:alignment vertical="center" wrapText="1"/>
    </x:xf>
    <x:xf numFmtId="0" fontId="0" fillId="41" borderId="11" xfId="0" applyNumberFormat="1" applyFont="1" applyFill="1" applyBorder="1" applyAlignment="1">
      <x:alignment vertical="top" wrapText="1"/>
    </x:xf>
    <x:xf numFmtId="0" fontId="5" fillId="36" borderId="0" xfId="0" applyNumberFormat="1" applyFont="1" applyFill="1" applyBorder="1"/>
    <x:xf numFmtId="0" fontId="5" fillId="36" borderId="6" xfId="0" applyNumberFormat="1" applyFont="1" applyFill="1" applyBorder="1"/>
    <x:xf numFmtId="0" fontId="5" fillId="36" borderId="20" xfId="0" applyNumberFormat="1" applyFont="1" applyFill="1" applyBorder="1"/>
    <x:xf numFmtId="0" fontId="5" fillId="36" borderId="21" xfId="0" applyNumberFormat="1" applyFont="1" applyFill="1" applyBorder="1"/>
    <x:xf numFmtId="0" fontId="5" fillId="36" borderId="6" xfId="0" applyNumberFormat="1" applyFont="1" applyFill="1" applyBorder="1" applyAlignment="1">
      <x:alignment wrapText="1"/>
    </x:xf>
    <x:xf numFmtId="0" fontId="5" fillId="36" borderId="20" xfId="0" applyNumberFormat="1" applyFont="1" applyFill="1" applyBorder="1" applyAlignment="1">
      <x:alignment wrapText="1"/>
    </x:xf>
    <x:xf numFmtId="0" fontId="5" fillId="36" borderId="21" xfId="0" applyNumberFormat="1" applyFont="1" applyFill="1" applyBorder="1" applyAlignment="1">
      <x:alignment wrapText="1"/>
    </x:xf>
    <x:xf numFmtId="0" fontId="5" fillId="36" borderId="6" xfId="0" applyNumberFormat="1" applyFont="1" applyFill="1" applyBorder="1" applyAlignment="1">
      <x:alignment vertical="center" wrapText="1"/>
    </x:xf>
    <x:xf numFmtId="0" fontId="5" fillId="36" borderId="20" xfId="0" applyNumberFormat="1" applyFont="1" applyFill="1" applyBorder="1" applyAlignment="1">
      <x:alignment vertical="center" wrapText="1"/>
    </x:xf>
    <x:xf numFmtId="0" fontId="5" fillId="36" borderId="2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3e9e0eecca4c26" /><Relationship Type="http://schemas.openxmlformats.org/officeDocument/2006/relationships/theme" Target="/xl/theme/theme1.xml" Id="R150ff94377714e98" /><Relationship Type="http://schemas.openxmlformats.org/officeDocument/2006/relationships/sharedStrings" Target="/xl/sharedStrings.xml" Id="R66c15ffaa47d414a" /><Relationship Type="http://schemas.openxmlformats.org/officeDocument/2006/relationships/worksheet" Target="/xl/worksheets/sheet1.xml" Id="R57451ba833024c87" /><Relationship Type="http://schemas.openxmlformats.org/officeDocument/2006/relationships/worksheet" Target="/xl/worksheets/sheet2.xml" Id="Rbc66b292bc9a474e" /><Relationship Type="http://schemas.openxmlformats.org/officeDocument/2006/relationships/worksheet" Target="/xl/worksheets/sheet3.xml" Id="R0e7a649c98824176" /><Relationship Type="http://schemas.openxmlformats.org/officeDocument/2006/relationships/worksheet" Target="/xl/worksheets/sheet4.xml" Id="R7edaaa5bcf654e5b" /><Relationship Type="http://schemas.openxmlformats.org/officeDocument/2006/relationships/worksheet" Target="/xl/worksheets/sheet5.xml" Id="R6945ec3184e24056" /><Relationship Type="http://schemas.openxmlformats.org/officeDocument/2006/relationships/worksheet" Target="/xl/worksheets/sheet6.xml" Id="Ra1ca2562252f4370" /><Relationship Type="http://schemas.openxmlformats.org/officeDocument/2006/relationships/worksheet" Target="/xl/worksheets/sheet7.xml" Id="Red805b12019947e7" /><Relationship Type="http://schemas.openxmlformats.org/officeDocument/2006/relationships/worksheet" Target="/xl/worksheets/sheet8.xml" Id="R251023cbd8a34ed2" /><Relationship Type="http://schemas.openxmlformats.org/officeDocument/2006/relationships/worksheet" Target="/xl/worksheets/sheet9.xml" Id="Rb67a9749b5d94dd8" /><Relationship Type="http://schemas.openxmlformats.org/officeDocument/2006/relationships/worksheet" Target="/xl/worksheets/sheet10.xml" Id="R2bf8564aa12c42cd" /><Relationship Type="http://schemas.openxmlformats.org/officeDocument/2006/relationships/worksheet" Target="/xl/worksheets/sheet11.xml" Id="R9e9b12a003ee48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18" hidden="0" customWidth="1"/>
    <x:col min="5" max="5" width="12" hidden="0" customWidth="1"/>
    <x:col min="6" max="6" width="14" hidden="0" customWidth="1"/>
    <x:col min="7" max="7" width="20" hidden="0" customWidth="1"/>
    <x:col min="8" max="8" width="42" hidden="0" customWidth="1"/>
  </x:cols>
  <x:sheetData>
    <x:row r="1" ht="28" customHeight="1">
      <x:c r="A1" s="4" t="str">
        <x:v>Light Tower Group — $10M+ Multifamily Sale &amp; Capital Opportunity Engine</x:v>
      </x:c>
      <x:c r="B1" s="4"/>
      <x:c r="C1" s="4"/>
      <x:c r="D1" s="4"/>
      <x:c r="E1" s="4"/>
      <x:c r="F1" s="4"/>
      <x:c r="G1" s="4"/>
      <x:c r="H1" s="4"/>
    </x:row>
    <x:row r="2" ht="30" customHeight="1">
      <x:c r="A2" s="9" t="str">
        <x:v>Run date: August 15, 2026 | Report-only | Targeted public-source sweep</x:v>
      </x:c>
      <x:c r="B2" s="9"/>
      <x:c r="C2" s="9"/>
      <x:c r="D2" s="9"/>
      <x:c r="E2" s="9"/>
      <x:c r="F2" s="9"/>
      <x:c r="G2" s="9"/>
      <x:c r="H2" s="9"/>
    </x:row>
    <x:row r="4" ht="24" customHeight="1">
      <x:c r="A4" s="24" t="str">
        <x:v>Action Queue</x:v>
      </x:c>
      <x:c r="B4" s="25" t="str">
        <x:v>Count</x:v>
      </x:c>
      <x:c r="D4" s="24" t="str">
        <x:v>Pipeline</x:v>
      </x:c>
      <x:c r="E4" s="25" t="str">
        <x:v>Count</x:v>
      </x:c>
    </x:row>
    <x:row r="5" ht="24" customHeight="1">
      <x:c r="A5" s="26" t="str">
        <x:v>Priority (85+)</x:v>
      </x:c>
      <x:c r="B5" s="42" t="n">
        <x:f>COUNTIF('Action Queue'!E5:E50,"&gt;=85")</x:f>
        <x:v>1</x:v>
      </x:c>
      <x:c r="D5" s="26" t="str">
        <x:v>Watch (65–74)</x:v>
      </x:c>
      <x:c r="E5" s="42" t="n">
        <x:f>COUNT('Watch'!D5:D50)</x:f>
        <x:v>11</x:v>
      </x:c>
    </x:row>
    <x:row r="6" ht="24" customHeight="1">
      <x:c r="A6" s="26" t="str">
        <x:v>Qualified (75–84)</x:v>
      </x:c>
      <x:c r="B6" s="42" t="n">
        <x:f>COUNTIFS('Action Queue'!E5:E50,"&gt;=75",'Action Queue'!E5:E50,"&lt;85")</x:f>
        <x:v>2</x:v>
      </x:c>
      <x:c r="D6" s="26" t="str">
        <x:v>Excluded</x:v>
      </x:c>
      <x:c r="E6" s="42" t="n">
        <x:f>COUNTA('Exclusions'!A5:A50)</x:f>
        <x:v>6</x:v>
      </x:c>
    </x:row>
    <x:row r="7" ht="24" customHeight="1">
      <x:c r="A7" s="28" t="str">
        <x:v>Total Action Queue</x:v>
      </x:c>
      <x:c r="B7" s="43" t="n">
        <x:f>SUM(B5:B6)</x:f>
        <x:v>3</x:v>
      </x:c>
      <x:c r="D7" s="28" t="str">
        <x:v>New Action Leads</x:v>
      </x:c>
      <x:c r="E7" s="43" t="n">
        <x:f>COUNTIF('Action Queue'!F5:F50,"New")</x:f>
        <x:v>0</x:v>
      </x:c>
    </x:row>
    <x:row r="8" ht="24" customHeight="1"/>
    <x:row r="9" ht="24" customHeight="1">
      <x:c r="A9" s="38" t="str">
        <x:v>Action Queue — 85+ priority and 75–84 qualified only</x:v>
      </x:c>
      <x:c r="B9" s="38"/>
      <x:c r="C9" s="38"/>
      <x:c r="D9" s="38"/>
      <x:c r="E9" s="38"/>
      <x:c r="F9" s="38"/>
      <x:c r="G9" s="38"/>
      <x:c r="H9" s="38"/>
    </x:row>
    <x:row r="10" ht="24" customHeight="1">
      <x:c r="A10" s="24" t="str">
        <x:v>Lead ID</x:v>
      </x:c>
      <x:c r="B10" s="35" t="str">
        <x:v>Asset</x:v>
      </x:c>
      <x:c r="C10" s="35" t="str">
        <x:v>Classification</x:v>
      </x:c>
      <x:c r="D10" s="35" t="str">
        <x:v>$10M Gate</x:v>
      </x:c>
      <x:c r="E10" s="35" t="str">
        <x:v>Score</x:v>
      </x:c>
      <x:c r="F10" s="35" t="str">
        <x:v>Run Status</x:v>
      </x:c>
      <x:c r="G10" s="35" t="str">
        <x:v>MSA</x:v>
      </x:c>
      <x:c r="H10" s="25" t="str">
        <x:v>Light Tower Angle</x:v>
      </x:c>
    </x:row>
    <x:row r="11" ht="24" customHeight="1">
      <x:c r="A11" s="26" t="str">
        <x:f>'Action Queue'!A5</x:f>
        <x:v>CHI-001</x:v>
      </x:c>
      <x:c r="B11" s="36" t="str">
        <x:f>'Action Queue'!B5</x:f>
        <x:v>Drexel Terraces</x:v>
      </x:c>
      <x:c r="C11" s="36" t="str">
        <x:f>'Action Queue'!C5</x:f>
        <x:v>Capital Event</x:v>
      </x:c>
      <x:c r="D11" s="36" t="str">
        <x:f>'Action Queue'!D5</x:f>
        <x:v>$31.0M original debt</x:v>
      </x:c>
      <x:c r="E11" s="44" t="n">
        <x:f>'Action Queue'!E5</x:f>
        <x:v>85</x:v>
      </x:c>
      <x:c r="F11" s="36" t="str">
        <x:f>'Action Queue'!F5</x:f>
        <x:v>Continuing</x:v>
      </x:c>
      <x:c r="G11" s="36" t="str">
        <x:f>'Action Queue'!H5</x:f>
        <x:v>Chicago MSA</x:v>
      </x:c>
      <x:c r="H11" s="27" t="str">
        <x:f>'Action Queue'!O5</x:f>
        <x:v>Lender dialogue / note-workout capital / receiver-transition senior refinance</x:v>
      </x:c>
    </x:row>
    <x:row r="12" ht="24" customHeight="1">
      <x:c r="A12" s="26" t="str">
        <x:f>'Action Queue'!A6</x:f>
        <x:v>CHI-004</x:v>
      </x:c>
      <x:c r="B12" s="36" t="str">
        <x:f>'Action Queue'!B6</x:f>
        <x:v>Washington Plaza</x:v>
      </x:c>
      <x:c r="C12" s="36" t="str">
        <x:f>'Action Queue'!C6</x:f>
        <x:v>Active Sale</x:v>
      </x:c>
      <x:c r="D12" s="36" t="str">
        <x:f>'Action Queue'!D6</x:f>
        <x:v>$12.0M asking</x:v>
      </x:c>
      <x:c r="E12" s="44" t="n">
        <x:f>'Action Queue'!E6</x:f>
        <x:v>78</x:v>
      </x:c>
      <x:c r="F12" s="36" t="str">
        <x:f>'Action Queue'!F6</x:f>
        <x:v>Continuing</x:v>
      </x:c>
      <x:c r="G12" s="36" t="str">
        <x:f>'Action Queue'!H6</x:f>
        <x:v>Chicago MSA</x:v>
      </x:c>
      <x:c r="H12" s="27" t="str">
        <x:f>'Action Queue'!O6</x:f>
        <x:v>Buyer financing / acquisition-sale advisory / senior refinance</x:v>
      </x:c>
    </x:row>
    <x:row r="13" ht="24" customHeight="1">
      <x:c r="A13" s="28" t="str">
        <x:f>'Action Queue'!A7</x:f>
        <x:v>PHI-006</x:v>
      </x:c>
      <x:c r="B13" s="37" t="str">
        <x:f>'Action Queue'!B7</x:f>
        <x:v>2328–2344 N. 2nd St.</x:v>
      </x:c>
      <x:c r="C13" s="37" t="str">
        <x:f>'Action Queue'!C7</x:f>
        <x:v>Active Sale</x:v>
      </x:c>
      <x:c r="D13" s="37" t="str">
        <x:f>'Action Queue'!D7</x:f>
        <x:v>$12.0M asking</x:v>
      </x:c>
      <x:c r="E13" s="45" t="n">
        <x:f>'Action Queue'!E7</x:f>
        <x:v>77</x:v>
      </x:c>
      <x:c r="F13" s="37" t="str">
        <x:f>'Action Queue'!F7</x:f>
        <x:v>Continuing</x:v>
      </x:c>
      <x:c r="G13" s="37" t="str">
        <x:f>'Action Queue'!H7</x:f>
        <x:v>Philadelphia MSA</x:v>
      </x:c>
      <x:c r="H13" s="29" t="str">
        <x:f>'Action Queue'!O7</x:f>
        <x:v>Buyer financing / lease-transition bridge / acquisition-sale advisory</x:v>
      </x:c>
    </x:row>
    <x:row r="14" ht="24" customHeight="1"/>
    <x:row r="15" ht="24" customHeight="1">
      <x:c r="A15" s="38" t="str">
        <x:v>Run controls &amp; coverage</x:v>
      </x:c>
      <x:c r="B15" s="38"/>
      <x:c r="C15" s="38"/>
      <x:c r="D15" s="38"/>
      <x:c r="E15" s="38"/>
      <x:c r="F15" s="38"/>
      <x:c r="G15" s="38"/>
      <x:c r="H15" s="38"/>
    </x:row>
    <x:row r="16" ht="36" customHeight="1">
      <x:c r="A16" s="41" t="str">
        <x:v>No prospect outreach was drafted, queued, scheduled, implied, or sent. Outreach requires explicit approval of named lead IDs for this specific run.</x:v>
      </x:c>
      <x:c r="B16" s="41"/>
      <x:c r="C16" s="41"/>
      <x:c r="D16" s="41"/>
      <x:c r="E16" s="41"/>
      <x:c r="F16" s="41"/>
      <x:c r="G16" s="41"/>
      <x:c r="H16" s="41"/>
    </x:row>
    <x:row r="17" ht="36" customHeight="1">
      <x:c r="A17" s="41" t="str">
        <x:v>Coverage is targeted public-source research in specified MSAs only; it is never universal coverage or statewide Florida/North Carolina coverage.</x:v>
      </x:c>
      <x:c r="B17" s="41"/>
      <x:c r="C17" s="41"/>
      <x:c r="D17" s="41"/>
      <x:c r="E17" s="41"/>
      <x:c r="F17" s="41"/>
      <x:c r="G17" s="41"/>
      <x:c r="H17" s="41"/>
    </x:row>
    <x:row r="18" ht="36" customHeight="1">
      <x:c r="A18" s="41" t="str">
        <x:v>Kenmore East moved to Exclusions after its direct listing reported it was no longer advertised; current availability must be reverified before reconsideration.</x:v>
      </x:c>
      <x:c r="B18" s="41"/>
      <x:c r="C18" s="41"/>
      <x:c r="D18" s="41"/>
      <x:c r="E18" s="41"/>
      <x:c r="F18" s="41"/>
      <x:c r="G18" s="41"/>
      <x:c r="H18" s="41"/>
    </x:row>
    <x:row r="19" ht="36" customHeight="1">
      <x:c r="A19" s="41" t="str">
        <x:v>The Cooper and 1400 Venice are new Watch items only: respectively RSO status and a dated listing record remain unverified.</x:v>
      </x:c>
      <x:c r="B19" s="41"/>
      <x:c r="C19" s="41"/>
      <x:c r="D19" s="41"/>
      <x:c r="E19" s="41"/>
      <x:c r="F19" s="41"/>
      <x:c r="G19" s="41"/>
      <x:c r="H19" s="41"/>
    </x:row>
  </x:sheetData>
  <x:mergeCells>
    <x:mergeCell ref="A1:H1"/>
    <x:mergeCell ref="A2:H2"/>
    <x:mergeCell ref="A9:H9"/>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8" hidden="0" customWidth="1"/>
    <x:col min="4" max="4" width="18" hidden="0" customWidth="1"/>
    <x:col min="5" max="5" width="10" hidden="0" customWidth="1"/>
    <x:col min="6" max="6" width="13" hidden="0" customWidth="1"/>
    <x:col min="7" max="7" width="28" hidden="0" customWidth="1"/>
    <x:col min="8" max="8" width="18" hidden="0" customWidth="1"/>
    <x:col min="9" max="9" width="10" hidden="0" customWidth="1"/>
    <x:col min="10" max="10" width="17" hidden="0" customWidth="1"/>
    <x:col min="11" max="11" width="36" hidden="0" customWidth="1"/>
    <x:col min="12" max="12" width="55" hidden="0" customWidth="1"/>
    <x:col min="13" max="13" width="48" hidden="0" customWidth="1"/>
    <x:col min="14" max="14" width="48" hidden="0" customWidth="1"/>
    <x:col min="15" max="15" width="45" hidden="0" customWidth="1"/>
    <x:col min="16" max="16" width="15" hidden="0" customWidth="1"/>
    <x:col min="17" max="17" width="12" hidden="0" customWidth="1"/>
    <x:col min="18" max="18" width="25" hidden="0" customWidth="1"/>
    <x:col min="19" max="19" width="36" hidden="0" customWidth="1"/>
    <x:col min="20" max="20" width="56" hidden="0" customWidth="1"/>
  </x:cols>
  <x:sheetData>
    <x:row r="1" ht="28" customHeight="1">
      <x:c r="A1" s="4" t="str">
        <x:v>Action Queue</x:v>
      </x:c>
      <x:c r="B1" s="4"/>
      <x:c r="C1" s="4"/>
      <x:c r="D1" s="4"/>
      <x:c r="E1" s="4"/>
      <x:c r="F1" s="4"/>
      <x:c r="G1" s="4"/>
      <x:c r="H1" s="4"/>
      <x:c r="I1" s="4"/>
      <x:c r="J1" s="4"/>
      <x:c r="K1" s="4"/>
      <x:c r="L1" s="4"/>
      <x:c r="M1" s="4"/>
      <x:c r="N1" s="4"/>
      <x:c r="O1" s="4"/>
      <x:c r="P1" s="4"/>
      <x:c r="Q1" s="4"/>
      <x:c r="R1" s="4"/>
      <x:c r="S1" s="4"/>
      <x:c r="T1" s="4"/>
    </x:row>
    <x:row r="2" ht="30" customHeight="1">
      <x:c r="A2" s="9" t="str">
        <x:v>Only 85+ priority and 75–84 qualified leads. $10M Gate is recorded for each action item.</x:v>
      </x:c>
      <x:c r="B2" s="9"/>
      <x:c r="C2" s="9"/>
      <x:c r="D2" s="9"/>
      <x:c r="E2" s="9"/>
      <x:c r="F2" s="9"/>
      <x:c r="G2" s="9"/>
      <x:c r="H2" s="9"/>
      <x:c r="I2" s="9"/>
      <x:c r="J2" s="9"/>
      <x:c r="K2" s="9"/>
      <x:c r="L2" s="9"/>
      <x:c r="M2" s="9"/>
      <x:c r="N2" s="9"/>
      <x:c r="O2" s="9"/>
      <x:c r="P2" s="9"/>
      <x:c r="Q2" s="9"/>
      <x:c r="R2" s="9"/>
      <x:c r="S2" s="9"/>
      <x:c r="T2" s="9"/>
    </x:row>
    <x:row r="4">
      <x:c r="A4" s="24" t="str">
        <x:v>Lead ID</x:v>
      </x:c>
      <x:c r="B4" s="35" t="str">
        <x:v>Asset</x:v>
      </x:c>
      <x:c r="C4" s="35" t="str">
        <x:v>Classification</x:v>
      </x:c>
      <x:c r="D4" s="35" t="str">
        <x:v>$10M Gate</x:v>
      </x:c>
      <x:c r="E4" s="35" t="str">
        <x:v>Score</x:v>
      </x:c>
      <x:c r="F4" s="35" t="str">
        <x:v>Run Status</x:v>
      </x:c>
      <x:c r="G4" s="35" t="str">
        <x:v>Address</x:v>
      </x:c>
      <x:c r="H4" s="35" t="str">
        <x:v>MSA</x:v>
      </x:c>
      <x:c r="I4" s="35" t="str">
        <x:v>Units</x:v>
      </x:c>
      <x:c r="J4" s="35" t="str">
        <x:v>Asking / Debt ($)</x:v>
      </x:c>
      <x:c r="K4" s="35" t="str">
        <x:v>Owner / Sponsor / Lender / Broker</x:v>
      </x:c>
      <x:c r="L4" s="35" t="str">
        <x:v>Observed Facts</x:v>
      </x:c>
      <x:c r="M4" s="35" t="str">
        <x:v>Inference</x:v>
      </x:c>
      <x:c r="N4" s="35" t="str">
        <x:v>Counterargument</x:v>
      </x:c>
      <x:c r="O4" s="35" t="str">
        <x:v>Light Tower Angle</x:v>
      </x:c>
      <x:c r="P4" s="35" t="str">
        <x:v>Observed / Listing Date</x:v>
      </x:c>
      <x:c r="Q4" s="35" t="str">
        <x:v>Source Tier</x:v>
      </x:c>
      <x:c r="R4" s="35" t="str">
        <x:v>Current Availability</x:v>
      </x:c>
      <x:c r="S4" s="35" t="str">
        <x:v>Verified Public Contact</x:v>
      </x:c>
      <x:c r="T4" s="25" t="str">
        <x:v>Source URL</x:v>
      </x:c>
    </x:row>
    <x:row r="5" ht="64" customHeight="1">
      <x:c r="A5" s="26" t="str">
        <x:v>CHI-001</x:v>
      </x:c>
      <x:c r="B5" s="36" t="str">
        <x:v>Drexel Terraces</x:v>
      </x:c>
      <x:c r="C5" s="36" t="str">
        <x:v>Capital Event</x:v>
      </x:c>
      <x:c r="D5" s="36" t="str">
        <x:v>$31.0M original debt</x:v>
      </x:c>
      <x:c r="E5" s="50" t="n">
        <x:v>85</x:v>
      </x:c>
      <x:c r="F5" s="36" t="str">
        <x:v>Continuing</x:v>
      </x:c>
      <x:c r="G5" s="36" t="str">
        <x:v>4830–4848 1/2 S. Drexel Blvd.</x:v>
      </x:c>
      <x:c r="H5" s="36" t="str">
        <x:v>Chicago MSA</x:v>
      </x:c>
      <x:c r="I5" s="44" t="n">
        <x:v>116</x:v>
      </x:c>
      <x:c r="J5" s="46" t="n">
        <x:v>31000000</x:v>
      </x:c>
      <x:c r="K5" s="36" t="str">
        <x:v>Lowenstein-controlled borrower; Trimont/LNR Partners servicers; Morgan Stanley originator</x:v>
      </x:c>
      <x:c r="L5" s="36" t="str">
        <x:v>May 19 reporting identifies foreclosure, payment default, and receiver motion; June 29 servicing commentary identifies a lender foreclosure/workout strategy.</x:v>
      </x:c>
      <x:c r="M5" s="36" t="str">
        <x:v>Lender-workout path supports note/workout capital, receiver-transition senior financing, or lender-led sale dialogue.</x:v>
      </x:c>
      <x:c r="N5" s="36" t="str">
        <x:v>A cure, modification, or receiver stabilization could defer a disposition; no public sale mandate.</x:v>
      </x:c>
      <x:c r="O5" s="36" t="str">
        <x:v>Lender dialogue / note-workout capital / receiver-transition senior refinance</x:v>
      </x:c>
      <x:c r="P5" s="48" t="n">
        <x:v>46202</x:v>
      </x:c>
      <x:c r="Q5" s="36" t="str">
        <x:v>Tier 2</x:v>
      </x:c>
      <x:c r="R5" s="36" t="str">
        <x:v>Capital event; not confirmed sale process</x:v>
      </x:c>
      <x:c r="S5" s="36" t="str">
        <x:v>Trimont / LNR Partners publicly named; no individual deal contact</x:v>
      </x:c>
      <x:c r="T5" s="27" t="str">
        <x:v>https://dealcharts.org/capitalmarkets/abs/cmbs/counterparty/specialservicer/midland_loan_services</x:v>
      </x:c>
    </x:row>
    <x:row r="6" ht="64" customHeight="1">
      <x:c r="A6" s="26" t="str">
        <x:v>CHI-004</x:v>
      </x:c>
      <x:c r="B6" s="36" t="str">
        <x:v>Washington Plaza</x:v>
      </x:c>
      <x:c r="C6" s="36" t="str">
        <x:v>Active Sale</x:v>
      </x:c>
      <x:c r="D6" s="36" t="str">
        <x:v>$12.0M asking</x:v>
      </x:c>
      <x:c r="E6" s="50" t="n">
        <x:v>78</x:v>
      </x:c>
      <x:c r="F6" s="36" t="str">
        <x:v>Continuing</x:v>
      </x:c>
      <x:c r="G6" s="36" t="str">
        <x:v>5501 W. Washington Blvd.</x:v>
      </x:c>
      <x:c r="H6" s="36" t="str">
        <x:v>Chicago MSA</x:v>
      </x:c>
      <x:c r="I6" s="44" t="n">
        <x:v>172</x:v>
      </x:c>
      <x:c r="J6" s="46" t="n">
        <x:v>12000000</x:v>
      </x:c>
      <x:c r="K6" s="36" t="str">
        <x:v>33 Realty; Brian Mond and George Benitez</x:v>
      </x:c>
      <x:c r="L6" s="36" t="str">
        <x:v>Tier 1 listing remains current; July 22 market date; 172 apartments; 98% occupancy; R-4 zoning.</x:v>
      </x:c>
      <x:c r="M6" s="36" t="str">
        <x:v>Fresh conventional sale process supports buyer financing and acquisition-sale advisory.</x:v>
      </x:c>
      <x:c r="N6" s="36" t="str">
        <x:v>Subsidy contracts, deferred maintenance, seller authority, and rent roll are unverified.</x:v>
      </x:c>
      <x:c r="O6" s="36" t="str">
        <x:v>Buyer financing / acquisition-sale advisory / senior refinance</x:v>
      </x:c>
      <x:c r="P6" s="48" t="n">
        <x:v>46225</x:v>
      </x:c>
      <x:c r="Q6" s="36" t="str">
        <x:v>Tier 1</x:v>
      </x:c>
      <x:c r="R6" s="36" t="str">
        <x:v>Currently available (reviewed Aug. 15)</x:v>
      </x:c>
      <x:c r="S6" s="36" t="str">
        <x:v>Brian Mond +1 773-615-2626; George Benitez +1 239-443-0768</x:v>
      </x:c>
      <x:c r="T6" s="27" t="str">
        <x:v>https://www.loopnet.com/Listing/5501-W-Washington-Blvd-Chicago-IL/41395207/</x:v>
      </x:c>
    </x:row>
    <x:row r="7" ht="64" customHeight="1">
      <x:c r="A7" s="28" t="str">
        <x:v>PHI-006</x:v>
      </x:c>
      <x:c r="B7" s="37" t="str">
        <x:v>2328–2344 N. 2nd St.</x:v>
      </x:c>
      <x:c r="C7" s="37" t="str">
        <x:v>Active Sale</x:v>
      </x:c>
      <x:c r="D7" s="37" t="str">
        <x:v>$12.0M asking</x:v>
      </x:c>
      <x:c r="E7" s="51" t="n">
        <x:v>77</x:v>
      </x:c>
      <x:c r="F7" s="37" t="str">
        <x:v>Continuing</x:v>
      </x:c>
      <x:c r="G7" s="37" t="str">
        <x:v>2328–2344 N. 2nd St.</x:v>
      </x:c>
      <x:c r="H7" s="37" t="str">
        <x:v>Philadelphia MSA</x:v>
      </x:c>
      <x:c r="I7" s="45" t="n">
        <x:v>33</x:v>
      </x:c>
      <x:c r="J7" s="47" t="n">
        <x:v>11999999</x:v>
      </x:c>
      <x:c r="K7" s="37" t="str">
        <x:v>McCann Commercial; Jon O'Shea</x:v>
      </x:c>
      <x:c r="L7" s="37" t="str">
        <x:v>Tier 1 listing remains current; June 22 market date; 33 apartments, 3,750 SF ground-floor commercial, and four adjacent residential parcels; 17 units under master lease through July 2027.</x:v>
      </x:c>
      <x:c r="M7" s="37" t="str">
        <x:v>Sale process and master-lease rollover support buyer financing, lease-transition bridge, or recapitalization analysis.</x:v>
      </x:c>
      <x:c r="N7" s="37" t="str">
        <x:v>Retail, adjacent parcels, master-lease assignability, and campus proximity require underwriting; confirm non-student lease structure.</x:v>
      </x:c>
      <x:c r="O7" s="37" t="str">
        <x:v>Buyer financing / lease-transition bridge / acquisition-sale advisory</x:v>
      </x:c>
      <x:c r="P7" s="49" t="n">
        <x:v>46195</x:v>
      </x:c>
      <x:c r="Q7" s="37" t="str">
        <x:v>Tier 1</x:v>
      </x:c>
      <x:c r="R7" s="37" t="str">
        <x:v>Currently available (reviewed Aug. 15)</x:v>
      </x:c>
      <x:c r="S7" s="37" t="str">
        <x:v>Jon O'Shea +1 267-780-3419</x:v>
      </x:c>
      <x:c r="T7" s="29" t="str">
        <x:v>https://www.loopnet.com/Listing/2328-2344-N-2nd-St-Philadelphia-PA/41009347/</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8" hidden="0" customWidth="1"/>
    <x:col min="4" max="4" width="10" hidden="0" customWidth="1"/>
    <x:col min="5" max="5" width="13" hidden="0" customWidth="1"/>
    <x:col min="6" max="6" width="28" hidden="0" customWidth="1"/>
    <x:col min="7" max="7" width="18" hidden="0" customWidth="1"/>
    <x:col min="8" max="8" width="10" hidden="0" customWidth="1"/>
    <x:col min="9" max="9" width="17" hidden="0" customWidth="1"/>
    <x:col min="10" max="10" width="48" hidden="0" customWidth="1"/>
    <x:col min="11" max="11" width="42" hidden="0" customWidth="1"/>
    <x:col min="12" max="12" width="52" hidden="0" customWidth="1"/>
    <x:col min="13" max="13" width="56" hidden="0" customWidth="1"/>
  </x:cols>
  <x:sheetData>
    <x:row r="1" ht="28" customHeight="1">
      <x:c r="A1" s="4" t="str">
        <x:v>Watch</x:v>
      </x:c>
      <x:c r="B1" s="4"/>
      <x:c r="C1" s="4"/>
      <x:c r="D1" s="4"/>
      <x:c r="E1" s="4"/>
      <x:c r="F1" s="4"/>
      <x:c r="G1" s="4"/>
      <x:c r="H1" s="4"/>
      <x:c r="I1" s="4"/>
      <x:c r="J1" s="4"/>
      <x:c r="K1" s="4"/>
      <x:c r="L1" s="4"/>
      <x:c r="M1" s="4"/>
    </x:row>
    <x:row r="2" ht="30" customHeight="1">
      <x:c r="A2" s="9" t="str">
        <x:v>Scores 65–74. Each lead requires the precise verification step shown before promotion.</x:v>
      </x:c>
      <x:c r="B2" s="9"/>
      <x:c r="C2" s="9"/>
      <x:c r="D2" s="9"/>
      <x:c r="E2" s="9"/>
      <x:c r="F2" s="9"/>
      <x:c r="G2" s="9"/>
      <x:c r="H2" s="9"/>
      <x:c r="I2" s="9"/>
      <x:c r="J2" s="9"/>
      <x:c r="K2" s="9"/>
      <x:c r="L2" s="9"/>
      <x:c r="M2" s="9"/>
    </x:row>
    <x:row r="4">
      <x:c r="A4" s="24" t="str">
        <x:v>Lead ID</x:v>
      </x:c>
      <x:c r="B4" s="35" t="str">
        <x:v>Asset</x:v>
      </x:c>
      <x:c r="C4" s="35" t="str">
        <x:v>Classification</x:v>
      </x:c>
      <x:c r="D4" s="35" t="str">
        <x:v>Score</x:v>
      </x:c>
      <x:c r="E4" s="35" t="str">
        <x:v>Run Status</x:v>
      </x:c>
      <x:c r="F4" s="35" t="str">
        <x:v>Address</x:v>
      </x:c>
      <x:c r="G4" s="35" t="str">
        <x:v>MSA</x:v>
      </x:c>
      <x:c r="H4" s="35" t="str">
        <x:v>Units</x:v>
      </x:c>
      <x:c r="I4" s="35" t="str">
        <x:v>Asking / Debt ($)</x:v>
      </x:c>
      <x:c r="J4" s="35" t="str">
        <x:v>Observed Status</x:v>
      </x:c>
      <x:c r="K4" s="35" t="str">
        <x:v>Why Watch</x:v>
      </x:c>
      <x:c r="L4" s="35" t="str">
        <x:v>Next Verification Step</x:v>
      </x:c>
      <x:c r="M4" s="25" t="str">
        <x:v>Source URL</x:v>
      </x:c>
    </x:row>
    <x:row r="5" ht="54" customHeight="1">
      <x:c r="A5" s="26" t="str">
        <x:v>LA-008</x:v>
      </x:c>
      <x:c r="B5" s="36" t="str">
        <x:v>The Cooper</x:v>
      </x:c>
      <x:c r="C5" s="36" t="str">
        <x:v>Active Sale</x:v>
      </x:c>
      <x:c r="D5" s="52" t="n">
        <x:v>71</x:v>
      </x:c>
      <x:c r="E5" s="36" t="str">
        <x:v>New</x:v>
      </x:c>
      <x:c r="F5" s="36" t="str">
        <x:v>6615 Franklin Ave.</x:v>
      </x:c>
      <x:c r="G5" s="36" t="str">
        <x:v>Los Angeles MSA</x:v>
      </x:c>
      <x:c r="H5" s="44" t="n">
        <x:v>75</x:v>
      </x:c>
      <x:c r="I5" s="46" t="n">
        <x:v>18195000</x:v>
      </x:c>
      <x:c r="J5" s="36" t="str">
        <x:v>July 20, 2026 MLS market date; Marcus &amp; Millichap; Rick Raymundo</x:v>
      </x:c>
      <x:c r="K5" s="36" t="str">
        <x:v>1962 vintage makes RSO status material; no primary clearance reviewed.</x:v>
      </x:c>
      <x:c r="L5" s="36" t="str">
        <x:v>Pull HCIDLA RSO determination and OM rent-regulation disclosure.</x:v>
      </x:c>
      <x:c r="M5" s="27" t="str">
        <x:v>https://www.showcase.com/6615-franklin-ave-los-angeles-ca-90028/41365216/</x:v>
      </x:c>
    </x:row>
    <x:row r="6" ht="54" customHeight="1">
      <x:c r="A6" s="26" t="str">
        <x:v>LA-009</x:v>
      </x:c>
      <x:c r="B6" s="36" t="str">
        <x:v>1400 Venice Blvd.</x:v>
      </x:c>
      <x:c r="C6" s="36" t="str">
        <x:v>Active Sale</x:v>
      </x:c>
      <x:c r="D6" s="52" t="n">
        <x:v>72</x:v>
      </x:c>
      <x:c r="E6" s="36" t="str">
        <x:v>New</x:v>
      </x:c>
      <x:c r="F6" s="36" t="str">
        <x:v>1400 Venice Blvd.</x:v>
      </x:c>
      <x:c r="G6" s="36" t="str">
        <x:v>Los Angeles MSA</x:v>
      </x:c>
      <x:c r="H6" s="44" t="n">
        <x:v>31</x:v>
      </x:c>
      <x:c r="I6" s="46" t="n">
        <x:v>12950000</x:v>
      </x:c>
      <x:c r="J6" s="36" t="str">
        <x:v>Broker page says 1988 asset is not subject to LA rent control.</x:v>
      </x:c>
      <x:c r="K6" s="36" t="str">
        <x:v>Listing date is absent; mandatory date-recording gate is unmet.</x:v>
      </x:c>
      <x:c r="L6" s="36" t="str">
        <x:v>Obtain dated exclusive/MLS record, current availability, and OM.</x:v>
      </x:c>
      <x:c r="M6" s="27" t="str">
        <x:v>https://www.kittywallaceteam.com/available-listings</x:v>
      </x:c>
    </x:row>
    <x:row r="7" ht="54" customHeight="1">
      <x:c r="A7" s="26" t="str">
        <x:v>FL-003</x:v>
      </x:c>
      <x:c r="B7" s="36" t="str">
        <x:v>California Club Apartments</x:v>
      </x:c>
      <x:c r="C7" s="36" t="str">
        <x:v>Active Sale</x:v>
      </x:c>
      <x:c r="D7" s="52" t="n">
        <x:v>74</x:v>
      </x:c>
      <x:c r="E7" s="36" t="str">
        <x:v>Continuing</x:v>
      </x:c>
      <x:c r="F7" s="36" t="str">
        <x:v>750 NE 195th St.</x:v>
      </x:c>
      <x:c r="G7" s="36" t="str">
        <x:v>Miami MSA</x:v>
      </x:c>
      <x:c r="H7" s="44" t="n">
        <x:v>64</x:v>
      </x:c>
      <x:c r="I7" s="46" t="n">
        <x:v>11000000</x:v>
      </x:c>
      <x:c r="J7" s="36" t="str">
        <x:v>MLS A12016834 active; MSP Group, LLC; annual leases.</x:v>
      </x:c>
      <x:c r="K7" s="36" t="str">
        <x:v>Pricing/marketing data differ across public syndications; no individual broker verified.</x:v>
      </x:c>
      <x:c r="L7" s="36" t="str">
        <x:v>Obtain exclusive mandate, current OM/rent roll, and restriction confirmation.</x:v>
      </x:c>
      <x:c r="M7" s="27" t="str">
        <x:v>https://www.coldwellbankerhomes.com/fl/miami/750-ne-195th-st/pid_71184682/</x:v>
      </x:c>
    </x:row>
    <x:row r="8" ht="54" customHeight="1">
      <x:c r="A8" s="26" t="str">
        <x:v>CHI-003</x:v>
      </x:c>
      <x:c r="B8" s="36" t="str">
        <x:v>4520–26 S. Drexel Blvd.</x:v>
      </x:c>
      <x:c r="C8" s="36" t="str">
        <x:v>Capital Event</x:v>
      </x:c>
      <x:c r="D8" s="52" t="n">
        <x:v>74</x:v>
      </x:c>
      <x:c r="E8" s="36" t="str">
        <x:v>Continuing</x:v>
      </x:c>
      <x:c r="F8" s="36" t="str">
        <x:v>4520–26 S. Drexel Blvd.</x:v>
      </x:c>
      <x:c r="G8" s="36" t="str">
        <x:v>Chicago MSA</x:v>
      </x:c>
      <x:c r="H8" s="44" t="n">
        <x:v>68</x:v>
      </x:c>
      <x:c r="I8" s="46" t="n">
        <x:v>19400000</x:v>
      </x:c>
      <x:c r="J8" s="36" t="str">
        <x:v>June 10 reporting cites $19.4M+ alleged payoff and Greystone special servicing.</x:v>
      </x:c>
      <x:c r="K8" s="36" t="str">
        <x:v>Corroborating report is derivative; primary docket/receiver order absent.</x:v>
      </x:c>
      <x:c r="L8" s="36" t="str">
        <x:v>Pull Cook County primary docket and receiver order; confirm servicer, timetable, and regulatory constraints.</x:v>
      </x:c>
      <x:c r="M8" s="27" t="str">
        <x:v>https://therealdeal.com/chicago/2026/06/10/greystone-smacks-lowensteins-with-another-cmbs-foreclosure/</x:v>
      </x:c>
    </x:row>
    <x:row r="9" ht="54" customHeight="1">
      <x:c r="A9" s="26" t="str">
        <x:v>NY-001</x:v>
      </x:c>
      <x:c r="B9" s="36" t="str">
        <x:v>30-Unit MF Portfolio Sale</x:v>
      </x:c>
      <x:c r="C9" s="36" t="str">
        <x:v>Active Sale</x:v>
      </x:c>
      <x:c r="D9" s="52" t="n">
        <x:v>73</x:v>
      </x:c>
      <x:c r="E9" s="36" t="str">
        <x:v>Continuing</x:v>
      </x:c>
      <x:c r="F9" s="36" t="str">
        <x:v>Portfolio addresses undisclosed</x:v>
      </x:c>
      <x:c r="G9" s="36" t="str">
        <x:v>NYC MSA</x:v>
      </x:c>
      <x:c r="H9" s="44" t="n">
        <x:v>30</x:v>
      </x:c>
      <x:c r="I9" s="46" t="n">
        <x:v>18050000</x:v>
      </x:c>
      <x:c r="J9" s="36" t="str">
        <x:v>Listing says 100% free-market / occupied; January 5 listing date.</x:v>
      </x:c>
      <x:c r="K9" s="36" t="str">
        <x:v>Listing is stale; component-building regulation is unverified.</x:v>
      </x:c>
      <x:c r="L9" s="36" t="str">
        <x:v>Obtain live mandate, component-building regulatory records, and current price guidance.</x:v>
      </x:c>
      <x:c r="M9" s="27" t="str">
        <x:v>https://www.loopnet.com/Listing/30-Unit-MF-Portfolio-Sale/38971102/</x:v>
      </x:c>
    </x:row>
    <x:row r="10" ht="54" customHeight="1">
      <x:c r="A10" s="26" t="str">
        <x:v>FL-001</x:v>
      </x:c>
      <x:c r="B10" s="36" t="str">
        <x:v>Gables Galiano</x:v>
      </x:c>
      <x:c r="C10" s="36" t="str">
        <x:v>Active Sale</x:v>
      </x:c>
      <x:c r="D10" s="52" t="n">
        <x:v>73</x:v>
      </x:c>
      <x:c r="E10" s="36" t="str">
        <x:v>Continuing</x:v>
      </x:c>
      <x:c r="F10" s="36" t="str">
        <x:v>1091 Galiano St.</x:v>
      </x:c>
      <x:c r="G10" s="36" t="str">
        <x:v>Miami MSA</x:v>
      </x:c>
      <x:c r="H10" s="44" t="n">
        <x:v>27</x:v>
      </x:c>
      <x:c r="I10" s="46" t="n">
        <x:v>20000000</x:v>
      </x:c>
      <x:c r="J10" s="36" t="str">
        <x:v>MLS offering carries January 16 list date and extended marketing duration.</x:v>
      </x:c>
      <x:c r="K10" s="36" t="str">
        <x:v>Marketing duration creates mandate and price-freshness risk.</x:v>
      </x:c>
      <x:c r="L10" s="36" t="str">
        <x:v>Confirm current mandate and seller price flexibility with public broker.</x:v>
      </x:c>
      <x:c r="M10" s="27" t="str">
        <x:v>https://bogatovrealty.com/miami/commercial/4950965/</x:v>
      </x:c>
    </x:row>
    <x:row r="11" ht="54" customHeight="1">
      <x:c r="A11" s="26" t="str">
        <x:v>LA-003</x:v>
      </x:c>
      <x:c r="B11" s="36" t="str">
        <x:v>Nabi Apartments</x:v>
      </x:c>
      <x:c r="C11" s="36" t="str">
        <x:v>Active Sale</x:v>
      </x:c>
      <x:c r="D11" s="52" t="n">
        <x:v>72</x:v>
      </x:c>
      <x:c r="E11" s="36" t="str">
        <x:v>Continuing</x:v>
      </x:c>
      <x:c r="F11" s="36" t="str">
        <x:v>744 S. Mariposa Ave.</x:v>
      </x:c>
      <x:c r="G11" s="36" t="str">
        <x:v>Los Angeles MSA</x:v>
      </x:c>
      <x:c r="H11" s="44" t="n">
        <x:v>31</x:v>
      </x:c>
      <x:c r="I11" s="46" t="n">
        <x:v>10000000</x:v>
      </x:c>
      <x:c r="J11" s="36" t="str">
        <x:v>Broker-facing records show $10.0M offering.</x:v>
      </x:c>
      <x:c r="K11" s="36" t="str">
        <x:v>Listing date not displayed; affordability-covenant status not cleared.</x:v>
      </x:c>
      <x:c r="L11" s="36" t="str">
        <x:v>Obtain current mandate, listing date, affordability status, and T-12.</x:v>
      </x:c>
      <x:c r="M11" s="27" t="str">
        <x:v>https://www.showcase.com/744-s-mariposa-ave-los-angeles-ca-90005/41176859/</x:v>
      </x:c>
    </x:row>
    <x:row r="12" ht="54" customHeight="1">
      <x:c r="A12" s="26" t="str">
        <x:v>LA-007</x:v>
      </x:c>
      <x:c r="B12" s="36" t="str">
        <x:v>The Jeffries</x:v>
      </x:c>
      <x:c r="C12" s="36" t="str">
        <x:v>Active Sale</x:v>
      </x:c>
      <x:c r="D12" s="52" t="n">
        <x:v>71</x:v>
      </x:c>
      <x:c r="E12" s="36" t="str">
        <x:v>Continuing</x:v>
      </x:c>
      <x:c r="F12" s="36" t="str">
        <x:v>117 Winston St.</x:v>
      </x:c>
      <x:c r="G12" s="36" t="str">
        <x:v>Los Angeles MSA</x:v>
      </x:c>
      <x:c r="H12" s="44" t="n">
        <x:v>43</x:v>
      </x:c>
      <x:c r="I12" s="46" t="n">
        <x:v>10600000</x:v>
      </x:c>
      <x:c r="J12" s="36" t="str">
        <x:v>Listing states RSO-exempt but mixed use.</x:v>
      </x:c>
      <x:c r="K12" s="36" t="str">
        <x:v>Residential-income dominance and retail scope are not cleared.</x:v>
      </x:c>
      <x:c r="L12" s="36" t="str">
        <x:v>Obtain OM/broker confirmation of residential income dominance and retail scope.</x:v>
      </x:c>
      <x:c r="M12" s="27" t="str">
        <x:v>https://www.loopnet.com/Listing/117-Winston-St-Los-Angeles-CA/40413204/</x:v>
      </x:c>
    </x:row>
    <x:row r="13" ht="54" customHeight="1">
      <x:c r="A13" s="26" t="str">
        <x:v>PHI-008</x:v>
      </x:c>
      <x:c r="B13" s="36" t="str">
        <x:v>220–222 Church St.</x:v>
      </x:c>
      <x:c r="C13" s="36" t="str">
        <x:v>Active Sale</x:v>
      </x:c>
      <x:c r="D13" s="52" t="n">
        <x:v>70</x:v>
      </x:c>
      <x:c r="E13" s="36" t="str">
        <x:v>Continuing</x:v>
      </x:c>
      <x:c r="F13" s="36" t="str">
        <x:v>220–222 Church St.</x:v>
      </x:c>
      <x:c r="G13" s="36" t="str">
        <x:v>Philadelphia MSA</x:v>
      </x:c>
      <x:c r="H13" s="44" t="n">
        <x:v>40</x:v>
      </x:c>
      <x:c r="I13" s="46" t="n">
        <x:v>12000000</x:v>
      </x:c>
      <x:c r="J13" s="36" t="str">
        <x:v>Record has unit-count differences, commercial anchors, and retail/short-term-stay issues.</x:v>
      </x:c>
      <x:c r="K13" s="36" t="str">
        <x:v>Use and unit count remain ambiguous.</x:v>
      </x:c>
      <x:c r="L13" s="36" t="str">
        <x:v>Confirm unit count, apartment-income dominance, and live mandate.</x:v>
      </x:c>
      <x:c r="M13" s="27" t="str">
        <x:v>https://www.loopnet.com/Listing/220-222-Church-St-Philadelphia-PA/39165415/</x:v>
      </x:c>
    </x:row>
    <x:row r="14" ht="54" customHeight="1">
      <x:c r="A14" s="26" t="str">
        <x:v>PHI-007</x:v>
      </x:c>
      <x:c r="B14" s="36" t="str">
        <x:v>The Maxfield</x:v>
      </x:c>
      <x:c r="C14" s="36" t="str">
        <x:v>Active Sale</x:v>
      </x:c>
      <x:c r="D14" s="52" t="n">
        <x:v>70</x:v>
      </x:c>
      <x:c r="E14" s="36" t="str">
        <x:v>Continuing</x:v>
      </x:c>
      <x:c r="F14" s="36" t="str">
        <x:v>1533 Parrish St.</x:v>
      </x:c>
      <x:c r="G14" s="36" t="str">
        <x:v>Philadelphia MSA</x:v>
      </x:c>
      <x:c r="H14" s="44"/>
      <x:c r="I14" s="46"/>
      <x:c r="J14" s="36" t="str">
        <x:v>Long-marketed listing uses placeholder pro forma.</x:v>
      </x:c>
      <x:c r="K14" s="36" t="str">
        <x:v>Pricing / actual operating performance cannot be relied upon.</x:v>
      </x:c>
      <x:c r="L14" s="36" t="str">
        <x:v>Obtain current mandate, true T-12, and market-rate confirmation.</x:v>
      </x:c>
      <x:c r="M14" s="27" t="str">
        <x:v>https://www.loopnet.com/Listing/1533-Parrish-St-Philadelphia-PA/35238282/</x:v>
      </x:c>
    </x:row>
    <x:row r="15" ht="54" customHeight="1">
      <x:c r="A15" s="28" t="str">
        <x:v>FL-004</x:v>
      </x:c>
      <x:c r="B15" s="37" t="str">
        <x:v>601 NE 22nd St.</x:v>
      </x:c>
      <x:c r="C15" s="37" t="str">
        <x:v>Active Sale</x:v>
      </x:c>
      <x:c r="D15" s="53" t="n">
        <x:v>70</x:v>
      </x:c>
      <x:c r="E15" s="37" t="str">
        <x:v>Continuing</x:v>
      </x:c>
      <x:c r="F15" s="37" t="str">
        <x:v>601 NE 22nd St.</x:v>
      </x:c>
      <x:c r="G15" s="37" t="str">
        <x:v>Miami MSA</x:v>
      </x:c>
      <x:c r="H15" s="45"/>
      <x:c r="I15" s="47" t="n">
        <x:v>11777000</x:v>
      </x:c>
      <x:c r="J15" s="37" t="str">
        <x:v>Listing has Feb. 26, 2025 date and syndication unit-count differences.</x:v>
      </x:c>
      <x:c r="K15" s="37" t="str">
        <x:v>Materially stale; restriction status and current seller intent unknown.</x:v>
      </x:c>
      <x:c r="L15" s="37" t="str">
        <x:v>Obtain written current mandate, seller intent, restriction status, and rent roll.</x:v>
      </x:c>
      <x:c r="M15" s="29" t="str">
        <x:v>https://www.canvasre.com/property/43-A11774630-601-Ne-22nd-St-Miami-FL-33137/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8" hidden="0" customWidth="1"/>
    <x:col min="4" max="4" width="75" hidden="0" customWidth="1"/>
    <x:col min="5" max="5" width="60" hidden="0" customWidth="1"/>
  </x:cols>
  <x:sheetData>
    <x:row r="1" ht="28" customHeight="1">
      <x:c r="A1" s="4" t="str">
        <x:v>Exclusions</x:v>
      </x:c>
      <x:c r="B1" s="4"/>
      <x:c r="C1" s="4"/>
      <x:c r="D1" s="4"/>
      <x:c r="E1" s="4"/>
    </x:row>
    <x:row r="2" ht="30" customHeight="1">
      <x:c r="A2" s="9" t="str">
        <x:v>Items retained outside the primary queue because they do not meet active-sale, conventional-multifamily, or regulatory-clearance requirements.</x:v>
      </x:c>
      <x:c r="B2" s="9"/>
      <x:c r="C2" s="9"/>
      <x:c r="D2" s="9"/>
      <x:c r="E2" s="9"/>
    </x:row>
    <x:row r="4">
      <x:c r="A4" s="24" t="str">
        <x:v>Lead ID</x:v>
      </x:c>
      <x:c r="B4" s="35" t="str">
        <x:v>Asset / Group</x:v>
      </x:c>
      <x:c r="C4" s="35" t="str">
        <x:v>Exclusion Basis</x:v>
      </x:c>
      <x:c r="D4" s="35" t="str">
        <x:v>Observed Reason</x:v>
      </x:c>
      <x:c r="E4" s="25" t="str">
        <x:v>Source URL</x:v>
      </x:c>
    </x:row>
    <x:row r="5" ht="46" customHeight="1">
      <x:c r="A5" s="26" t="str">
        <x:v>CHI-002</x:v>
      </x:c>
      <x:c r="B5" s="36" t="str">
        <x:v>Kenmore East Apartments</x:v>
      </x:c>
      <x:c r="C5" s="54" t="str">
        <x:v>Current availability unverified</x:v>
      </x:c>
      <x:c r="D5" s="36" t="str">
        <x:v>Direct Tier 1 listing now says it is no longer advertised; do not treat as active sale without new exclusive mandate or broker confirmation.</x:v>
      </x:c>
      <x:c r="E5" s="27" t="str">
        <x:v>https://www.loopnet.com/Listing/5417-N-Kenmore-Ave-Chicago-IL/40025034/</x:v>
      </x:c>
    </x:row>
    <x:row r="6" ht="46" customHeight="1">
      <x:c r="A6" s="26" t="str">
        <x:v>FL-X01</x:v>
      </x:c>
      <x:c r="B6" s="36" t="str">
        <x:v>Sunshine, 4110 NW 22nd Ave.; 2629 NW 17th Ave.</x:v>
      </x:c>
      <x:c r="C6" s="54" t="str">
        <x:v>Product mismatch</x:v>
      </x:c>
      <x:c r="D6" s="36" t="str">
        <x:v>Under-construction/mixed-use project and high-density redevelopment/workforce-housing play.</x:v>
      </x:c>
      <x:c r="E6" s="27" t="str"/>
    </x:row>
    <x:row r="7" ht="46" customHeight="1">
      <x:c r="A7" s="26" t="str">
        <x:v>LA-X01</x:v>
      </x:c>
      <x:c r="B7" s="36" t="str">
        <x:v>4186 S. Western Ave.; 1350 W. Court St.; The Peake; 5110 N. Bakman Ave.</x:v>
      </x:c>
      <x:c r="C7" s="54" t="str">
        <x:v>Regulatory restriction</x:v>
      </x:c>
      <x:c r="D7" s="36" t="str">
        <x:v>Restricted-affordable or uncleared TOC/HCA characteristics.</x:v>
      </x:c>
      <x:c r="E7" s="27" t="str"/>
    </x:row>
    <x:row r="8" ht="46" customHeight="1">
      <x:c r="A8" s="26" t="str">
        <x:v>LA-X02</x:v>
      </x:c>
      <x:c r="B8" s="36" t="str">
        <x:v>The Centennial; Metropolitan Building</x:v>
      </x:c>
      <x:c r="C8" s="54" t="str">
        <x:v>RSO / affordable</x:v>
      </x:c>
      <x:c r="D8" s="36" t="str">
        <x:v>Public evidence identifies affordable or RSO constraints.</x:v>
      </x:c>
      <x:c r="E8" s="27" t="str"/>
    </x:row>
    <x:row r="9" ht="46" customHeight="1">
      <x:c r="A9" s="26" t="str">
        <x:v>PHI-X01</x:v>
      </x:c>
      <x:c r="B9" s="36" t="str">
        <x:v>3207 Spring Garden; 4210–4216 Chestnut; 4200 Ludlow; 4042/4046–48 Chestnut</x:v>
      </x:c>
      <x:c r="C9" s="54" t="str">
        <x:v>Student housing</x:v>
      </x:c>
      <x:c r="D9" s="36" t="str">
        <x:v>Student-housing / rent-by-bed characteristics.</x:v>
      </x:c>
      <x:c r="E9" s="27" t="str"/>
    </x:row>
    <x:row r="10" ht="46" customHeight="1">
      <x:c r="A10" s="28" t="str">
        <x:v>PHI-X02</x:v>
      </x:c>
      <x:c r="B10" s="37" t="str">
        <x:v>220–250 S. 5th St.</x:v>
      </x:c>
      <x:c r="C10" s="55" t="str">
        <x:v>Development land</x:v>
      </x:c>
      <x:c r="D10" s="37" t="str">
        <x:v>Land/development opportunity, not an existing conventional-rental acquisition.</x:v>
      </x:c>
      <x:c r="E10" s="29" t="str"/>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22" hidden="0" customWidth="1"/>
    <x:col min="4" max="4" width="48" hidden="0" customWidth="1"/>
  </x:cols>
  <x:sheetData>
    <x:row r="1" ht="28" customHeight="1">
      <x:c r="A1" s="4" t="str">
        <x:v>Coverage &amp; Sources</x:v>
      </x:c>
      <x:c r="B1" s="4"/>
      <x:c r="C1" s="4"/>
      <x:c r="D1" s="4"/>
    </x:row>
    <x:row r="2" ht="30" customHeight="1">
      <x:c r="A2" s="9" t="str">
        <x:v>Run constraints, market gaps, and source-tier operating standards.</x:v>
      </x:c>
      <x:c r="B2" s="9"/>
      <x:c r="C2" s="9"/>
      <x:c r="D2" s="9"/>
    </x:row>
    <x:row r="4">
      <x:c r="A4" s="24" t="str">
        <x:v>Topic</x:v>
      </x:c>
      <x:c r="B4" s="25" t="str">
        <x:v>Detail</x:v>
      </x:c>
    </x:row>
    <x:row r="5" ht="45" customHeight="1">
      <x:c r="A5" s="26" t="str">
        <x:v>Coverage limitation</x:v>
      </x:c>
      <x:c r="B5" s="27" t="str">
        <x:v>Targeted public-source research only; not universal listing coverage and never statewide Florida or North Carolina coverage.</x:v>
      </x:c>
    </x:row>
    <x:row r="6" ht="45" customHeight="1">
      <x:c r="A6" s="26" t="str">
        <x:v>No new qualified action lead</x:v>
      </x:c>
      <x:c r="B6" s="27" t="str">
        <x:v>NYC; named North Carolina MSAs; Tampa, Orlando, Jacksonville, Fort Myers, Naples, Sarasota, Palm Bay, Lakeland, Daytona Beach; non-screened portions of named MSAs.</x:v>
      </x:c>
    </x:row>
    <x:row r="7" ht="45" customHeight="1">
      <x:c r="A7" s="26" t="str">
        <x:v>Action threshold</x:v>
      </x:c>
      <x:c r="B7" s="27" t="str">
        <x:v>Only 85+ priority and 75–84 qualified leads are in Action Queue. Scores above 69 need Tier 1 evidence or two independent Tier 2 sources.</x:v>
      </x:c>
    </x:row>
    <x:row r="8" ht="45" customHeight="1">
      <x:c r="A8" s="28" t="str">
        <x:v>Outreach control</x:v>
      </x:c>
      <x:c r="B8" s="29" t="str">
        <x:v>No outreach drafted, queued, scheduled, implied, or sent. Explicit approval of named IDs is required for this run.</x:v>
      </x:c>
    </x:row>
    <x:row r="10">
      <x:c r="A10" s="38" t="str">
        <x:v>Source-tier hierarchy</x:v>
      </x:c>
      <x:c r="B10" s="38"/>
      <x:c r="C10" s="38"/>
      <x:c r="D10" s="38"/>
    </x:row>
    <x:row r="11">
      <x:c r="A11" s="24" t="str">
        <x:v>Tier</x:v>
      </x:c>
      <x:c r="B11" s="35" t="str">
        <x:v>Permitted Source Type</x:v>
      </x:c>
      <x:c r="C11" s="35" t="str">
        <x:v>Use</x:v>
      </x:c>
      <x:c r="D11" s="25" t="str">
        <x:v>Promotion Standard</x:v>
      </x:c>
    </x:row>
    <x:row r="12" ht="52" customHeight="1">
      <x:c r="A12" s="26" t="str">
        <x:v>Tier 1</x:v>
      </x:c>
      <x:c r="B12" s="36" t="str">
        <x:v>Direct broker/owner/lender/receiver/servicer/auction listing, OM, dated/price/named-contact MLS, public court/recorder/CMBS/servicer records</x:v>
      </x:c>
      <x:c r="C12" s="36" t="str">
        <x:v>Decision evidence</x:v>
      </x:c>
      <x:c r="D12" s="27" t="str">
        <x:v>Required for top-scoring direct evidence where available</x:v>
      </x:c>
    </x:row>
    <x:row r="13" ht="52" customHeight="1">
      <x:c r="A13" s="26" t="str">
        <x:v>Tier 2</x:v>
      </x:c>
      <x:c r="B13" s="36" t="str">
        <x:v>SEC filings, broker announcements, credible CRE trade press, public sponsor/lender communication</x:v>
      </x:c>
      <x:c r="C13" s="36" t="str">
        <x:v>Corroboration</x:v>
      </x:c>
      <x:c r="D13" s="27" t="str">
        <x:v>Two independent sources can support a score above 69</x:v>
      </x:c>
    </x:row>
    <x:row r="14" ht="52" customHeight="1">
      <x:c r="A14" s="28" t="str">
        <x:v>Tier 3</x:v>
      </x:c>
      <x:c r="B14" s="37" t="str">
        <x:v>Discovery-only sources</x:v>
      </x:c>
      <x:c r="C14" s="37" t="str">
        <x:v>Lead discovery</x:v>
      </x:c>
      <x:c r="D14" s="29" t="str">
        <x:v>Never sufficient for promotion</x:v>
      </x:c>
    </x:row>
  </x:sheetData>
  <x:mergeCells>
    <x:mergeCell ref="A1:D1"/>
    <x:mergeCell ref="A2:D2"/>
    <x:mergeCell ref="A10:D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88" t="str">
        <x:v>Light Tower Group — Daily $10M+ Multifamily Sale &amp; Capital Opportunity Engine</x:v>
      </x:c>
      <x:c r="B1" s="88"/>
      <x:c r="C1" s="88"/>
      <x:c r="D1" s="88"/>
      <x:c r="E1" s="88"/>
      <x:c r="F1" s="88"/>
      <x:c r="G1" s="88"/>
      <x:c r="H1" s="88"/>
      <x:c r="I1" s="88"/>
      <x:c r="J1" s="88"/>
      <x:c r="K1" s="88"/>
      <x:c r="L1" s="88"/>
      <x:c r="M1" s="88"/>
      <x:c r="N1" s="88"/>
      <x:c r="O1" s="88"/>
      <x:c r="P1" s="88"/>
      <x:c r="Q1" s="88"/>
      <x:c r="R1" s="88"/>
      <x:c r="S1" s="88"/>
      <x:c r="T1" s="88"/>
      <x:c r="U1" s="88"/>
    </x:row>
    <x:row r="2" ht="30" customHeight="1">
      <x:c r="A2" s="63" t="str">
        <x:v>Run date: August 30, 2026 | Report-only | Targeted public-source sweep | No prospect outreach prepared, queued, scheduled, implied, or sent.</x:v>
      </x:c>
      <x:c r="B2" s="63"/>
      <x:c r="C2" s="63"/>
      <x:c r="D2" s="63"/>
      <x:c r="E2" s="63"/>
      <x:c r="F2" s="63"/>
      <x:c r="G2" s="63"/>
      <x:c r="H2" s="63"/>
      <x:c r="I2" s="63"/>
      <x:c r="J2" s="63"/>
      <x:c r="K2" s="63"/>
      <x:c r="L2" s="63"/>
      <x:c r="M2" s="63"/>
      <x:c r="N2" s="63"/>
      <x:c r="O2" s="63"/>
      <x:c r="P2" s="63"/>
      <x:c r="Q2" s="63"/>
      <x:c r="R2" s="63"/>
      <x:c r="S2" s="63"/>
      <x:c r="T2" s="63"/>
      <x:c r="U2" s="63"/>
    </x:row>
    <x:row r="4">
      <x:c r="A4" s="66" t="str">
        <x:v>Action queue</x:v>
      </x:c>
      <x:c r="B4" s="66" t="str">
        <x:v>Count</x:v>
      </x:c>
      <x:c r="D4" s="66" t="str">
        <x:v>Pipeline</x:v>
      </x:c>
      <x:c r="E4" s="66" t="str">
        <x:v>Count</x:v>
      </x:c>
    </x:row>
    <x:row r="5">
      <x:c r="A5" s="67" t="str">
        <x:v>Priority (85+)</x:v>
      </x:c>
      <x:c r="B5" s="69" t="n">
        <x:v>0</x:v>
      </x:c>
      <x:c r="D5" s="67" t="str">
        <x:v>Watch (65–74)</x:v>
      </x:c>
      <x:c r="E5" s="69" t="n">
        <x:v>11</x:v>
      </x:c>
    </x:row>
    <x:row r="6">
      <x:c r="A6" s="67" t="str">
        <x:v>Qualified (75–84)</x:v>
      </x:c>
      <x:c r="B6" s="69" t="n">
        <x:v>4</x:v>
      </x:c>
      <x:c r="D6" s="67" t="str">
        <x:v>New Watch items</x:v>
      </x:c>
      <x:c r="E6" s="69" t="n">
        <x:v>2</x:v>
      </x:c>
    </x:row>
    <x:row r="7">
      <x:c r="A7" s="67" t="str">
        <x:v>New qualified action leads</x:v>
      </x:c>
      <x:c r="B7" s="69" t="n">
        <x:v>0</x:v>
      </x:c>
      <x:c r="D7" s="67" t="str">
        <x:v>Excluded / repriced finds</x:v>
      </x:c>
      <x:c r="E7" s="69" t="n">
        <x:v>2</x:v>
      </x:c>
    </x:row>
    <x:row r="9">
      <x:c r="A9" s="70" t="str">
        <x:v>Action Queue — qualified only (75–84); each item clears the $10M gate and has a current, public source.</x:v>
      </x:c>
      <x:c r="B9" s="70"/>
      <x:c r="C9" s="70"/>
      <x:c r="D9" s="70"/>
      <x:c r="E9" s="70"/>
      <x:c r="F9" s="70"/>
      <x:c r="G9" s="70"/>
      <x:c r="H9" s="70"/>
      <x:c r="I9" s="70"/>
      <x:c r="J9" s="70"/>
      <x:c r="K9" s="70"/>
      <x:c r="L9" s="70"/>
      <x:c r="M9" s="70"/>
      <x:c r="N9" s="70"/>
      <x:c r="O9" s="70"/>
      <x:c r="P9" s="70"/>
      <x:c r="Q9" s="70"/>
      <x:c r="R9" s="70"/>
      <x:c r="S9" s="70"/>
      <x:c r="T9" s="70"/>
      <x:c r="U9" s="70"/>
    </x:row>
    <x:row r="10" ht="36" customHeight="1">
      <x:c r="A10" s="74" t="str">
        <x:v>Lead ID</x:v>
      </x:c>
      <x:c r="B10" s="74" t="str">
        <x:v>Asset</x:v>
      </x:c>
      <x:c r="C10" s="74" t="str">
        <x:v>Class</x:v>
      </x:c>
      <x:c r="D10" s="74" t="str">
        <x:v>$10M Gate</x:v>
      </x:c>
      <x:c r="E10" s="74" t="str">
        <x:v>Score</x:v>
      </x:c>
      <x:c r="F10" s="74" t="str">
        <x:v>Run Status</x:v>
      </x:c>
      <x:c r="G10" s="74" t="str">
        <x:v>Address</x:v>
      </x:c>
      <x:c r="H10" s="74" t="str">
        <x:v>MSA</x:v>
      </x:c>
      <x:c r="I10" s="74" t="str">
        <x:v>Units</x:v>
      </x:c>
      <x:c r="J10" s="74" t="str">
        <x:v>Asking / Debt ($)</x:v>
      </x:c>
      <x:c r="K10" s="74" t="str">
        <x:v>Owner / Sponsor / Lender / Broker</x:v>
      </x:c>
      <x:c r="L10" s="74" t="str">
        <x:v>Observed Facts</x:v>
      </x:c>
      <x:c r="M10" s="74" t="str">
        <x:v>Inference</x:v>
      </x:c>
      <x:c r="N10" s="74" t="str">
        <x:v>Counterargument</x:v>
      </x:c>
      <x:c r="O10" s="74" t="str">
        <x:v>Light Tower Angle</x:v>
      </x:c>
      <x:c r="P10" s="74" t="str">
        <x:v>Observed / Listing Date</x:v>
      </x:c>
      <x:c r="Q10" s="74" t="str">
        <x:v>Source Tier</x:v>
      </x:c>
      <x:c r="R10" s="74" t="str">
        <x:v>Current Availability</x:v>
      </x:c>
      <x:c r="S10" s="74" t="str">
        <x:v>Verified Public Contact</x:v>
      </x:c>
      <x:c r="T10" s="74" t="str">
        <x:v>Source URL</x:v>
      </x:c>
      <x:c r="U10" s="74" t="str">
        <x:v>Score detail</x:v>
      </x:c>
    </x:row>
    <x:row r="11" ht="82"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from December, receiver motion, and roughly $35M foreclosure claim; independent April reporting identifies March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2026-05-19 trigger; reviewed 2026-08-30</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2"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2019 Class A, 18-unit apartment property, stated 100% occupancy, 4.60% cap rate, listed Aug. 3, and currently available.</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2026-08-30</x:v>
      </x:c>
      <x:c r="Q12" s="75" t="str">
        <x:v>Tier 1</x:v>
      </x:c>
      <x:c r="R12" s="75" t="str">
        <x:v>Currently available</x:v>
      </x:c>
      <x:c r="S12" s="75" t="str">
        <x:v>Alex Galuz, KW Commercial, +1 310-466-0888</x:v>
      </x:c>
      <x:c r="T12" s="75" t="str">
        <x:v>https://www.loopnet.com/Listing/3675-Dunn-Dr-Los-Angeles-CA/41534752/</x:v>
      </x:c>
      <x:c r="U12" s="75" t="str">
        <x:v>35+0+15+9+15+5 = 79</x:v>
      </x:c>
    </x:row>
    <x:row r="13" ht="82"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172 apartments, 98% stated occupancy, R-4 zoning, July 22 market date, and current availability.</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2026-08-30</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2"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33 apartments, 3,750 SF ground-floor commercial, four adjacent residential parcels, 85%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age of listing reduces recency score.</x:v>
      </x:c>
      <x:c r="O14" s="75" t="str">
        <x:v>Buyer financing / lease-transition bridge / acquisition-sale advisory</x:v>
      </x:c>
      <x:c r="P14" s="75" t="str">
        <x:v>Listed 2026-06-22; reviewed 2026-08-30</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81" t="str">
        <x:v>Watch (65–74) — verification required before promotion</x:v>
      </x:c>
      <x:c r="B16" s="81"/>
      <x:c r="C16" s="81"/>
      <x:c r="D16" s="81"/>
      <x:c r="E16" s="81"/>
      <x:c r="F16" s="81"/>
    </x:row>
    <x:row r="17">
      <x:c r="A17" s="82" t="str">
        <x:v>Lead ID</x:v>
      </x:c>
      <x:c r="B17" s="82" t="str">
        <x:v>Class / Score</x:v>
      </x:c>
      <x:c r="C17" s="82" t="str">
        <x:v>$10M Gate / Asset</x:v>
      </x:c>
      <x:c r="D17" s="82" t="str">
        <x:v>Observed Facts</x:v>
      </x:c>
      <x:c r="E17" s="82" t="str">
        <x:v>Exact next verification step</x:v>
      </x:c>
      <x:c r="F17" s="82" t="str">
        <x:v>Source / Date</x:v>
      </x:c>
    </x:row>
    <x:row r="18" ht="58" customHeight="1">
      <x:c r="A18" s="75" t="str">
        <x:v>FL-007</x:v>
      </x:c>
      <x:c r="B18" s="75" t="str">
        <x:v>Active Sale / 72 (New)</x:v>
      </x:c>
      <x:c r="C18" s="75" t="str">
        <x:v>650 SW 1st St, Miami — ~$10.90M implied by $519,048/unit x 21 residential units</x:v>
      </x:c>
      <x:c r="D18" s="75" t="str">
        <x:v>Tier 1 listing is active from Aug. 15; 21 residential units plus one 450-SF ground-floor retail suite; no named sale-side contact shown.</x:v>
      </x:c>
      <x:c r="E18" s="75" t="str">
        <x:v>Obtain signed sale mandate / explicit total ask, current rent roll, and confirmation that retail is immaterial and no restrictions apply.</x:v>
      </x:c>
      <x:c r="F18" s="75" t="str">
        <x:v>https://www.loopnet.com/Listing/650-SW-1st-St-Miami-FL/41764910/ | 2026-08-15; reviewed 2026-08-30</x:v>
      </x:c>
    </x:row>
    <x:row r="19" ht="58" customHeight="1">
      <x:c r="A19" s="75" t="str">
        <x:v>FL-008</x:v>
      </x:c>
      <x:c r="B19" s="75" t="str">
        <x:v>Active Sale / 68 (New)</x:v>
      </x:c>
      <x:c r="C19" s="75" t="str">
        <x:v>300 Majorca Ave, Coral Gables — $12.75M asking / 17 apartments</x:v>
      </x:c>
      <x:c r="D19" s="75" t="str">
        <x:v>Public broker listing identifies a 17-unit rental building, but the visible record has no current market date; it was originally constructed as condos.</x:v>
      </x:c>
      <x:c r="E19" s="75" t="str">
        <x:v>Obtain current Marcus &amp; Millichap mandate, listing date, rental-vs-condo status, and rent-regulation/covenant confirmation.</x:v>
      </x:c>
      <x:c r="F19" s="75" t="str">
        <x:v>https://www.showcase.com/300-majorca-ave-coral-gables-fl-33134/31157564/ | reviewed 2026-08-30</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2026-08-30</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yet in file.</x:v>
      </x:c>
      <x:c r="E22" s="75" t="str">
        <x:v>Pull Hillsborough complaint, mortgage/assignment, lender/borrower linkage, and restriction evidence.</x:v>
      </x:c>
      <x:c r="F22" s="75" t="str">
        <x:v>Prior public reporting; review 2026-08-30</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2026-08-30</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2026-08-30</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2026-08-30</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2026-08-30</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2026-08-30</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2026-08-30</x:v>
      </x:c>
    </x:row>
    <x:row r="30">
      <x:c r="A30" s="85" t="str">
        <x:v>Exclusions, controls, and coverage gaps</x:v>
      </x:c>
      <x:c r="B30" s="85"/>
      <x:c r="C30" s="85"/>
      <x:c r="D30" s="85"/>
      <x:c r="E30" s="85"/>
      <x:c r="F30" s="85"/>
      <x:c r="G30" s="85"/>
      <x:c r="H30" s="85"/>
      <x:c r="I30" s="85"/>
      <x:c r="J30" s="85"/>
      <x:c r="K30" s="85"/>
      <x:c r="L30" s="85"/>
      <x:c r="M30" s="85"/>
      <x:c r="N30" s="85"/>
      <x:c r="O30" s="85"/>
      <x:c r="P30" s="85"/>
      <x:c r="Q30" s="85"/>
      <x:c r="R30" s="85"/>
      <x:c r="S30" s="85"/>
      <x:c r="T30" s="85"/>
      <x:c r="U30" s="85"/>
    </x:row>
    <x:row r="31">
      <x:c r="A31" s="87" t="str">
        <x:v>Item</x:v>
      </x:c>
      <x:c r="B31" s="87" t="str">
        <x:v>Classification / reason</x:v>
      </x:c>
      <x:c r="C31" s="87" t="str">
        <x:v>Evidence and action</x:v>
      </x:c>
      <x:c r="D31" s="87"/>
      <x:c r="E31" s="87"/>
      <x:c r="F31" s="87"/>
      <x:c r="G31" s="87"/>
      <x:c r="H31" s="87"/>
      <x:c r="I31" s="87"/>
      <x:c r="J31" s="87"/>
      <x:c r="K31" s="87"/>
      <x:c r="L31" s="87"/>
      <x:c r="M31" s="87"/>
      <x:c r="N31" s="87"/>
      <x:c r="O31" s="87"/>
      <x:c r="P31" s="87"/>
      <x:c r="Q31" s="87"/>
      <x:c r="R31" s="87"/>
      <x:c r="S31" s="87"/>
      <x:c r="T31" s="87"/>
      <x:c r="U31" s="87"/>
    </x:row>
    <x:row r="32" ht="60" customHeight="1">
      <x:c r="A32" s="75" t="str">
        <x:v>Allapattah 23 — 2311–2325 NW 22nd Ave, Miami</x:v>
      </x:c>
      <x:c r="B32" s="75" t="str">
        <x:v>Excluded — current price below $10M gate; product record also includes Multifamily Dormitory subtype</x:v>
      </x:c>
      <x:c r="C32" s="75" t="str">
        <x:v>Direct current listing now shows $9.5M / 23 units, despite stale search results showing $10.999M. Do not promote without a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12" t="str">
        <x:v>Light Tower Group — Daily $10M+ Multifamily Sale &amp; Capital Opportunity Engine</x:v>
      </x:c>
      <x:c r="B1" s="112"/>
      <x:c r="C1" s="112"/>
      <x:c r="D1" s="112"/>
      <x:c r="E1" s="112"/>
      <x:c r="F1" s="112"/>
      <x:c r="G1" s="112"/>
      <x:c r="H1" s="112"/>
      <x:c r="I1" s="112"/>
      <x:c r="J1" s="112"/>
      <x:c r="K1" s="112"/>
      <x:c r="L1" s="112"/>
      <x:c r="M1" s="112"/>
      <x:c r="N1" s="112"/>
      <x:c r="O1" s="112"/>
      <x:c r="P1" s="112"/>
      <x:c r="Q1" s="112"/>
      <x:c r="R1" s="112"/>
      <x:c r="S1" s="112"/>
      <x:c r="T1" s="112"/>
      <x:c r="U1" s="112"/>
    </x:row>
    <x:row r="2" ht="30" customHeight="1">
      <x:c r="A2" s="96" t="str">
        <x:v>Run date: August 31, 2026 | Report-only | Targeted public-source sweep | No prospect outreach prepared, queued, scheduled, implied, or sent.</x:v>
      </x:c>
      <x:c r="B2" s="96"/>
      <x:c r="C2" s="96"/>
      <x:c r="D2" s="96"/>
      <x:c r="E2" s="96"/>
      <x:c r="F2" s="96"/>
      <x:c r="G2" s="96"/>
      <x:c r="H2" s="96"/>
      <x:c r="I2" s="96"/>
      <x:c r="J2" s="96"/>
      <x:c r="K2" s="96"/>
      <x:c r="L2" s="96"/>
      <x:c r="M2" s="96"/>
      <x:c r="N2" s="96"/>
      <x:c r="O2" s="96"/>
      <x:c r="P2" s="96"/>
      <x:c r="Q2" s="96"/>
      <x:c r="R2" s="96"/>
      <x:c r="S2" s="96"/>
      <x:c r="T2" s="96"/>
      <x:c r="U2" s="96"/>
    </x:row>
    <x:row r="4">
      <x:c r="A4" s="99" t="str">
        <x:v>Action queue</x:v>
      </x:c>
      <x:c r="B4" s="99" t="str">
        <x:v>Count</x:v>
      </x:c>
      <x:c r="D4" s="99" t="str">
        <x:v>Pipeline</x:v>
      </x:c>
      <x:c r="E4" s="99" t="str">
        <x:v>Count</x:v>
      </x:c>
    </x:row>
    <x:row r="5">
      <x:c r="A5" s="67" t="str">
        <x:v>Priority (85+)</x:v>
      </x:c>
      <x:c r="B5" s="69" t="n">
        <x:v>0</x:v>
      </x:c>
      <x:c r="D5" s="67" t="str">
        <x:v>Watch (65–74)</x:v>
      </x:c>
      <x:c r="E5" s="69" t="n">
        <x:v>11</x:v>
      </x:c>
    </x:row>
    <x:row r="6">
      <x:c r="A6" s="67" t="str">
        <x:v>Qualified (75–84)</x:v>
      </x:c>
      <x:c r="B6" s="69" t="n">
        <x:v>4</x:v>
      </x:c>
      <x:c r="D6" s="67" t="str">
        <x:v>New Watch items</x:v>
      </x:c>
      <x:c r="E6" s="69" t="n">
        <x:v>0</x:v>
      </x:c>
    </x:row>
    <x:row r="7">
      <x:c r="A7" s="67" t="str">
        <x:v>New qualified action leads</x:v>
      </x:c>
      <x:c r="B7" s="69" t="n">
        <x:v>0</x:v>
      </x:c>
      <x:c r="D7" s="67" t="str">
        <x:v>New exclusions</x:v>
      </x:c>
      <x:c r="E7" s="69" t="n">
        <x:v>0</x:v>
      </x:c>
    </x:row>
    <x:row r="9">
      <x:c r="A9" s="100" t="str">
        <x:v>Action Queue — qualified only (75–84); each item clears the $10M gate and has a current, public source.</x:v>
      </x:c>
      <x:c r="B9" s="100"/>
      <x:c r="C9" s="100"/>
      <x:c r="D9" s="100"/>
      <x:c r="E9" s="100"/>
      <x:c r="F9" s="100"/>
      <x:c r="G9" s="100"/>
      <x:c r="H9" s="100"/>
      <x:c r="I9" s="100"/>
      <x:c r="J9" s="100"/>
      <x:c r="K9" s="100"/>
      <x:c r="L9" s="100"/>
      <x:c r="M9" s="100"/>
      <x:c r="N9" s="100"/>
      <x:c r="O9" s="100"/>
      <x:c r="P9" s="100"/>
      <x:c r="Q9" s="100"/>
      <x:c r="R9" s="100"/>
      <x:c r="S9" s="100"/>
      <x:c r="T9" s="100"/>
      <x:c r="U9" s="100"/>
    </x:row>
    <x:row r="10" ht="36" customHeight="1">
      <x:c r="A10" s="104" t="str">
        <x:v>Lead ID</x:v>
      </x:c>
      <x:c r="B10" s="104" t="str">
        <x:v>Asset</x:v>
      </x:c>
      <x:c r="C10" s="104" t="str">
        <x:v>Class</x:v>
      </x:c>
      <x:c r="D10" s="104" t="str">
        <x:v>$10M Gate</x:v>
      </x:c>
      <x:c r="E10" s="104" t="str">
        <x:v>Score</x:v>
      </x:c>
      <x:c r="F10" s="104" t="str">
        <x:v>Run Status</x:v>
      </x:c>
      <x:c r="G10" s="104" t="str">
        <x:v>Address</x:v>
      </x:c>
      <x:c r="H10" s="104" t="str">
        <x:v>MSA</x:v>
      </x:c>
      <x:c r="I10" s="104" t="str">
        <x:v>Units</x:v>
      </x:c>
      <x:c r="J10" s="104" t="str">
        <x:v>Asking / Debt ($)</x:v>
      </x:c>
      <x:c r="K10" s="104" t="str">
        <x:v>Owner / Sponsor / Lender / Broker</x:v>
      </x:c>
      <x:c r="L10" s="104" t="str">
        <x:v>Observed Facts</x:v>
      </x:c>
      <x:c r="M10" s="104" t="str">
        <x:v>Inference</x:v>
      </x:c>
      <x:c r="N10" s="104" t="str">
        <x:v>Counterargument</x:v>
      </x:c>
      <x:c r="O10" s="104" t="str">
        <x:v>Light Tower Angle</x:v>
      </x:c>
      <x:c r="P10" s="104" t="str">
        <x:v>Observed / Listing Date</x:v>
      </x:c>
      <x:c r="Q10" s="104" t="str">
        <x:v>Source Tier</x:v>
      </x:c>
      <x:c r="R10" s="104" t="str">
        <x:v>Current Availability</x:v>
      </x:c>
      <x:c r="S10" s="104" t="str">
        <x:v>Verified Public Contact</x:v>
      </x:c>
      <x:c r="T10" s="104" t="str">
        <x:v>Source URL</x:v>
      </x:c>
      <x:c r="U10" s="104" t="str">
        <x:v>Score detail</x:v>
      </x:c>
    </x:row>
    <x:row r="11" ht="88"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receiver motion, and roughly $35M foreclosure claim; independent reporting identifies the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Trigger 2026-05-19; reviewed 2026-08-31</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8"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remains currently available on Aug. 31: 2019 Class A, 18-unit apartment property, stated 100% occupancy and 4.60% cap rate; market date Aug. 3.</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2026-08-31</x:v>
      </x:c>
      <x:c r="Q12" s="75" t="str">
        <x:v>Tier 1</x:v>
      </x:c>
      <x:c r="R12" s="75" t="str">
        <x:v>Currently available</x:v>
      </x:c>
      <x:c r="S12" s="75" t="str">
        <x:v>Alex Galuz, KW Commercial, +1 310-466-0888</x:v>
      </x:c>
      <x:c r="T12" s="75" t="str">
        <x:v>https://www.loopnet.com/Listing/3675-Dunn-Dr-Los-Angeles-CA/41534752/</x:v>
      </x:c>
      <x:c r="U12" s="75" t="str">
        <x:v>35+0+15+9+15+5 = 79</x:v>
      </x:c>
    </x:row>
    <x:row r="13" ht="88"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remains currently available on Aug. 31: 172 apartments, 98% stated occupancy, R-4 zoning and July 22 market date.</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2026-08-31</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8"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remains currently available Aug. 31: 33 apartments, 3,750 SF ground-floor commercial, four adjacent residential parcels, 85% stated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listing age reduces recency score.</x:v>
      </x:c>
      <x:c r="O14" s="75" t="str">
        <x:v>Buyer financing / lease-transition bridge / acquisition-sale advisory</x:v>
      </x:c>
      <x:c r="P14" s="75" t="str">
        <x:v>Listed 2026-06-22; reviewed 2026-08-31</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106" t="str">
        <x:v>Watch (65–74) — verification required before promotion</x:v>
      </x:c>
      <x:c r="B16" s="106"/>
      <x:c r="C16" s="106"/>
      <x:c r="D16" s="106"/>
      <x:c r="E16" s="106"/>
      <x:c r="F16" s="106"/>
    </x:row>
    <x:row r="17">
      <x:c r="A17" s="107" t="str">
        <x:v>Lead ID</x:v>
      </x:c>
      <x:c r="B17" s="107" t="str">
        <x:v>Class / Score</x:v>
      </x:c>
      <x:c r="C17" s="107" t="str">
        <x:v>$10M Gate / Asset</x:v>
      </x:c>
      <x:c r="D17" s="107" t="str">
        <x:v>Observed Facts</x:v>
      </x:c>
      <x:c r="E17" s="107" t="str">
        <x:v>Exact next verification step</x:v>
      </x:c>
      <x:c r="F17" s="107" t="str">
        <x:v>Source / Date</x:v>
      </x:c>
    </x:row>
    <x:row r="18" ht="58" customHeight="1">
      <x:c r="A18" s="75" t="str">
        <x:v>FL-007</x:v>
      </x:c>
      <x:c r="B18" s="75" t="str">
        <x:v>Active Sale / 72</x:v>
      </x:c>
      <x:c r="C18" s="75" t="str">
        <x:v>650 SW 1st St, Miami — ~$10.90M implied by $519,048/unit × 21 units</x:v>
      </x:c>
      <x:c r="D18" s="75" t="str">
        <x:v>Tier 1 listing is currently available Aug. 31, calls the asset 21-unit multifamily and provides an Aug. 15 market date, but gives price only per unit and no individual sale contact.</x:v>
      </x:c>
      <x:c r="E18" s="75" t="str">
        <x:v>Obtain signed sale mandate / explicit total ask, current rent roll, confirmation of no material retail or restriction, and named broker contact.</x:v>
      </x:c>
      <x:c r="F18" s="75" t="str">
        <x:v>https://www.loopnet.com/Listing/650-SW-1st-St-Miami-FL/41764910/ | listed 2026-08-15; reviewed 2026-08-31</x:v>
      </x:c>
    </x:row>
    <x:row r="19" ht="58" customHeight="1">
      <x:c r="A19" s="75" t="str">
        <x:v>FL-008</x:v>
      </x:c>
      <x:c r="B19" s="75" t="str">
        <x:v>Active Sale / 68</x:v>
      </x:c>
      <x:c r="C19" s="75" t="str">
        <x:v>300 Majorca Ave, Coral Gables — $12.75M asking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2026-08-31</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2026-08-31</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2026-08-31</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2026-08-31</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2026-08-31</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2026-08-31</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2026-08-31</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2026-08-31</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2026-08-31</x:v>
      </x:c>
    </x:row>
    <x:row r="30">
      <x:c r="A30" s="109" t="str">
        <x:v>Exclusions, controls, and coverage gaps</x:v>
      </x:c>
      <x:c r="B30" s="109"/>
      <x:c r="C30" s="109"/>
      <x:c r="D30" s="109"/>
      <x:c r="E30" s="109"/>
      <x:c r="F30" s="109"/>
      <x:c r="G30" s="109"/>
      <x:c r="H30" s="109"/>
      <x:c r="I30" s="109"/>
      <x:c r="J30" s="109"/>
      <x:c r="K30" s="109"/>
      <x:c r="L30" s="109"/>
      <x:c r="M30" s="109"/>
      <x:c r="N30" s="109"/>
      <x:c r="O30" s="109"/>
      <x:c r="P30" s="109"/>
      <x:c r="Q30" s="109"/>
      <x:c r="R30" s="109"/>
      <x:c r="S30" s="109"/>
      <x:c r="T30" s="109"/>
      <x:c r="U30" s="109"/>
    </x:row>
    <x:row r="31">
      <x:c r="A31" s="111" t="str">
        <x:v>Item</x:v>
      </x:c>
      <x:c r="B31" s="111" t="str">
        <x:v>Classification / reason</x:v>
      </x:c>
      <x:c r="C31" s="111" t="str">
        <x:v>Evidence and action</x:v>
      </x:c>
      <x:c r="D31" s="111"/>
      <x:c r="E31" s="111"/>
      <x:c r="F31" s="111"/>
      <x:c r="G31" s="111"/>
      <x:c r="H31" s="111"/>
      <x:c r="I31" s="111"/>
      <x:c r="J31" s="111"/>
      <x:c r="K31" s="111"/>
      <x:c r="L31" s="111"/>
      <x:c r="M31" s="111"/>
      <x:c r="N31" s="111"/>
      <x:c r="O31" s="111"/>
      <x:c r="P31" s="111"/>
      <x:c r="Q31" s="111"/>
      <x:c r="R31" s="111"/>
      <x:c r="S31" s="111"/>
      <x:c r="T31" s="111"/>
      <x:c r="U31" s="111"/>
    </x:row>
    <x:row r="32" ht="60" customHeight="1">
      <x:c r="A32" s="75" t="str">
        <x:v>Allapattah 23 — 2311–2325 NW 22nd Ave, Miami</x:v>
      </x:c>
      <x:c r="B32" s="75" t="str">
        <x:v>Excluded — current price below $10M gate; product record includes Multifamily Dormitory subtype</x:v>
      </x:c>
      <x:c r="C32" s="75" t="str">
        <x:v>Direct current listing shows $9.5M / 23 units. Do not promote without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36" t="str">
        <x:v>Light Tower Group — Daily $10M+ Multifamily Sale &amp; Capital Opportunity Engine</x:v>
      </x:c>
      <x:c r="B1" s="136"/>
      <x:c r="C1" s="136"/>
      <x:c r="D1" s="136"/>
      <x:c r="E1" s="136"/>
      <x:c r="F1" s="136"/>
      <x:c r="G1" s="136"/>
      <x:c r="H1" s="136"/>
      <x:c r="I1" s="136"/>
      <x:c r="J1" s="136"/>
      <x:c r="K1" s="136"/>
      <x:c r="L1" s="136"/>
      <x:c r="M1" s="136"/>
      <x:c r="N1" s="136"/>
      <x:c r="O1" s="136"/>
      <x:c r="P1" s="136"/>
      <x:c r="Q1" s="136"/>
      <x:c r="R1" s="136"/>
      <x:c r="S1" s="136"/>
      <x:c r="T1" s="136"/>
      <x:c r="U1" s="136"/>
    </x:row>
    <x:row r="2" ht="30" customHeight="1">
      <x:c r="A2" s="120" t="str">
        <x:v>Run date: September 1, 2026 | Report-only | Targeted public-source sweep | No prospect outreach prepared, queued, scheduled, implied, or sent.</x:v>
      </x:c>
      <x:c r="B2" s="120"/>
      <x:c r="C2" s="120"/>
      <x:c r="D2" s="120"/>
      <x:c r="E2" s="120"/>
      <x:c r="F2" s="120"/>
      <x:c r="G2" s="120"/>
      <x:c r="H2" s="120"/>
      <x:c r="I2" s="120"/>
      <x:c r="J2" s="120"/>
      <x:c r="K2" s="120"/>
      <x:c r="L2" s="120"/>
      <x:c r="M2" s="120"/>
      <x:c r="N2" s="120"/>
      <x:c r="O2" s="120"/>
      <x:c r="P2" s="120"/>
      <x:c r="Q2" s="120"/>
      <x:c r="R2" s="120"/>
      <x:c r="S2" s="120"/>
      <x:c r="T2" s="120"/>
      <x:c r="U2" s="120"/>
    </x:row>
    <x:row r="4">
      <x:c r="A4" s="123" t="str">
        <x:v>Action queue</x:v>
      </x:c>
      <x:c r="B4" s="123" t="str">
        <x:v>Count</x:v>
      </x:c>
      <x:c r="D4" s="123" t="str">
        <x:v>Pipeline</x:v>
      </x:c>
      <x:c r="E4" s="123" t="str">
        <x:v>Count</x:v>
      </x:c>
    </x:row>
    <x:row r="5">
      <x:c r="A5" s="67" t="str">
        <x:v>Priority (85+)</x:v>
      </x:c>
      <x:c r="B5" s="69" t="n">
        <x:v>0</x:v>
      </x:c>
      <x:c r="D5" s="67" t="str">
        <x:v>Watch (65–74)</x:v>
      </x:c>
      <x:c r="E5" s="69" t="n">
        <x:v>12</x:v>
      </x:c>
    </x:row>
    <x:row r="6">
      <x:c r="A6" s="67" t="str">
        <x:v>Qualified (75–84)</x:v>
      </x:c>
      <x:c r="B6" s="69" t="n">
        <x:v>3</x:v>
      </x:c>
      <x:c r="D6" s="67" t="str">
        <x:v>New Watch items</x:v>
      </x:c>
      <x:c r="E6" s="69" t="n">
        <x:v>0</x:v>
      </x:c>
    </x:row>
    <x:row r="7">
      <x:c r="A7" s="67" t="str">
        <x:v>New qualified action leads</x:v>
      </x:c>
      <x:c r="B7" s="69" t="n">
        <x:v>0</x:v>
      </x:c>
      <x:c r="D7" s="67" t="str">
        <x:v>New exclusions</x:v>
      </x:c>
      <x:c r="E7" s="69" t="n">
        <x:v>1</x:v>
      </x:c>
    </x:row>
    <x:row r="9">
      <x:c r="A9" s="124" t="str">
        <x:v>Action Queue — qualified only (75–84); each item clears the $10M gate and has a current, public source.</x:v>
      </x:c>
      <x:c r="B9" s="124"/>
      <x:c r="C9" s="124"/>
      <x:c r="D9" s="124"/>
      <x:c r="E9" s="124"/>
      <x:c r="F9" s="124"/>
      <x:c r="G9" s="124"/>
      <x:c r="H9" s="124"/>
      <x:c r="I9" s="124"/>
      <x:c r="J9" s="124"/>
      <x:c r="K9" s="124"/>
      <x:c r="L9" s="124"/>
      <x:c r="M9" s="124"/>
      <x:c r="N9" s="124"/>
      <x:c r="O9" s="124"/>
      <x:c r="P9" s="124"/>
      <x:c r="Q9" s="124"/>
      <x:c r="R9" s="124"/>
      <x:c r="S9" s="124"/>
      <x:c r="T9" s="124"/>
      <x:c r="U9" s="124"/>
    </x:row>
    <x:row r="10" ht="36" customHeight="1">
      <x:c r="A10" s="128" t="str">
        <x:v>Lead ID</x:v>
      </x:c>
      <x:c r="B10" s="128" t="str">
        <x:v>Asset</x:v>
      </x:c>
      <x:c r="C10" s="128" t="str">
        <x:v>Class</x:v>
      </x:c>
      <x:c r="D10" s="128" t="str">
        <x:v>$10M Gate</x:v>
      </x:c>
      <x:c r="E10" s="128" t="str">
        <x:v>Score</x:v>
      </x:c>
      <x:c r="F10" s="128" t="str">
        <x:v>Run Status</x:v>
      </x:c>
      <x:c r="G10" s="128" t="str">
        <x:v>Address</x:v>
      </x:c>
      <x:c r="H10" s="128" t="str">
        <x:v>MSA</x:v>
      </x:c>
      <x:c r="I10" s="128" t="str">
        <x:v>Units</x:v>
      </x:c>
      <x:c r="J10" s="128" t="str">
        <x:v>Asking / Debt ($)</x:v>
      </x:c>
      <x:c r="K10" s="128" t="str">
        <x:v>Owner / Sponsor / Lender / Broker</x:v>
      </x:c>
      <x:c r="L10" s="128" t="str">
        <x:v>Observed Facts</x:v>
      </x:c>
      <x:c r="M10" s="128" t="str">
        <x:v>Inference</x:v>
      </x:c>
      <x:c r="N10" s="128" t="str">
        <x:v>Counterargument</x:v>
      </x:c>
      <x:c r="O10" s="128" t="str">
        <x:v>Light Tower Angle</x:v>
      </x:c>
      <x:c r="P10" s="128" t="str">
        <x:v>Observed / Listing Date</x:v>
      </x:c>
      <x:c r="Q10" s="128" t="str">
        <x:v>Source Tier</x:v>
      </x:c>
      <x:c r="R10" s="128" t="str">
        <x:v>Current Availability</x:v>
      </x:c>
      <x:c r="S10" s="128" t="str">
        <x:v>Verified Public Contact</x:v>
      </x:c>
      <x:c r="T10" s="128" t="str">
        <x:v>Source URL</x:v>
      </x:c>
      <x:c r="U10" s="128" t="str">
        <x:v>Score detail</x:v>
      </x:c>
    </x:row>
    <x:row r="11" ht="92"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remains currently available Sept. 1: 2019 Class A, 18-unit apartment property, stated 100% occupancy and 4.60% cap rate; market date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2026-09-01</x:v>
      </x:c>
      <x:c r="Q11" s="75" t="str">
        <x:v>Tier 1</x:v>
      </x:c>
      <x:c r="R11" s="75" t="str">
        <x:v>Currently available</x:v>
      </x:c>
      <x:c r="S11" s="75" t="str">
        <x:v>Alex Galuz, KW Commercial, +1 310-466-0888</x:v>
      </x:c>
      <x:c r="T11" s="75" t="str">
        <x:v>https://www.loopnet.com/Listing/3675-Dunn-Dr-Los-Angeles-CA/41534752/</x:v>
      </x:c>
      <x:c r="U11" s="75" t="str">
        <x:v>35+0+15+9+15+5 = 79</x:v>
      </x:c>
    </x:row>
    <x:row r="12" ht="92"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remains currently available Sept. 1: 172 apartments, 98% stated occupancy, R-4 zoning and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2026-09-01</x:v>
      </x:c>
      <x:c r="Q12" s="75" t="str">
        <x:v>Tier 1</x:v>
      </x:c>
      <x:c r="R12" s="75" t="str">
        <x:v>Currently available</x:v>
      </x:c>
      <x:c r="S12" s="75" t="str">
        <x:v>Brian Mond +1 773-615-2626; George Benitez +1 239-443-0768</x:v>
      </x:c>
      <x:c r="T12" s="75" t="str">
        <x:v>https://www.loopnet.com/Listing/5501-W-Washington-Blvd-Chicago-IL/41395207/</x:v>
      </x:c>
      <x:c r="U12" s="75" t="str">
        <x:v>35+0+14+9+15+5 = 78</x:v>
      </x:c>
    </x:row>
    <x:row r="13" ht="92" customHeight="1">
      <x:c r="A13" s="75" t="str">
        <x:v>PHI-006</x:v>
      </x:c>
      <x:c r="B13" s="75" t="str">
        <x:v>2328–2344 N. 2nd St.</x:v>
      </x:c>
      <x:c r="C13" s="75" t="str">
        <x:v>Active Sale</x:v>
      </x:c>
      <x:c r="D13" s="75" t="str">
        <x:v>$11,999,999 asking</x:v>
      </x:c>
      <x:c r="E13" s="77" t="n">
        <x:v>75</x:v>
      </x:c>
      <x:c r="F13" s="75" t="str">
        <x:v>Continuing</x:v>
      </x:c>
      <x:c r="G13" s="75" t="str">
        <x:v>2328–2344 N. 2nd St.</x:v>
      </x:c>
      <x:c r="H13" s="75" t="str">
        <x:v>Philadelphia MSA</x:v>
      </x:c>
      <x:c r="I13" s="78" t="n">
        <x:v>33</x:v>
      </x:c>
      <x:c r="J13" s="79" t="n">
        <x:v>11999999</x:v>
      </x:c>
      <x:c r="K13" s="75" t="str">
        <x:v>McCann Commercial; Jon O'Shea</x:v>
      </x:c>
      <x:c r="L13" s="75" t="str">
        <x:v>Tier 1 listing remains currently available Sept. 1: 33 apartments, 3,750 SF ground-floor commercial, four adjacent residential parcels; 17 residential units under master lease through July 2027 and 88% residential occupancy.</x:v>
      </x:c>
      <x:c r="M13" s="75" t="str">
        <x:v>Live marketing and lease rollover support buyer financing, lease-transition bridge, or recapitalization.</x:v>
      </x:c>
      <x:c r="N13" s="75" t="str">
        <x:v>Retail income, parcel inclusion, master-lease assignability, and conventional/non-student leasing require underwriting.</x:v>
      </x:c>
      <x:c r="O13" s="75" t="str">
        <x:v>Buyer financing / lease-transition bridge / acquisition-sale advisory</x:v>
      </x:c>
      <x:c r="P13" s="75" t="str">
        <x:v>Listed 2026-06-22; reviewed 2026-09-01</x:v>
      </x:c>
      <x:c r="Q13" s="75" t="str">
        <x:v>Tier 1</x:v>
      </x:c>
      <x:c r="R13" s="75" t="str">
        <x:v>Currently available</x:v>
      </x:c>
      <x:c r="S13" s="75" t="str">
        <x:v>Jon O'Shea, McCann Commercial, +1 267-780-3419</x:v>
      </x:c>
      <x:c r="T13" s="75" t="str">
        <x:v>https://www.loopnet.com/Listing/2328-2344-N-2nd-St-Philadelphia-PA/41009347/</x:v>
      </x:c>
      <x:c r="U13" s="75" t="str">
        <x:v>35+4+10+8+13+5 = 75</x:v>
      </x:c>
    </x:row>
    <x:row r="15">
      <x:c r="A15" s="130" t="str">
        <x:v>Watch (65–74) — verification required before promotion</x:v>
      </x:c>
      <x:c r="B15" s="130"/>
      <x:c r="C15" s="130"/>
      <x:c r="D15" s="130"/>
      <x:c r="E15" s="130"/>
      <x:c r="F15" s="130"/>
    </x:row>
    <x:row r="16">
      <x:c r="A16" s="131" t="str">
        <x:v>Lead ID</x:v>
      </x:c>
      <x:c r="B16" s="131" t="str">
        <x:v>Class / Score</x:v>
      </x:c>
      <x:c r="C16" s="131" t="str">
        <x:v>$10M Gate / Asset</x:v>
      </x:c>
      <x:c r="D16" s="131" t="str">
        <x:v>Observed Facts</x:v>
      </x:c>
      <x:c r="E16" s="131" t="str">
        <x:v>Exact next verification step</x:v>
      </x:c>
      <x:c r="F16" s="131" t="str">
        <x:v>Source / Date</x:v>
      </x:c>
    </x:row>
    <x:row r="17" ht="62" customHeight="1">
      <x:c r="A17" s="75" t="str">
        <x:v>CHI-001</x:v>
      </x:c>
      <x:c r="B17" s="75" t="str">
        <x:v>Capital Event / 74</x:v>
      </x:c>
      <x:c r="C17" s="75" t="str">
        <x:v>Drexel Terraces, Chicago — $31.0M original CMBS debt; 116 units</x:v>
      </x:c>
      <x:c r="D17" s="75" t="str">
        <x:v>May 19 Tier 2 reporting names payment default, receiver motion and roughly $35M foreclosure claim. The previously surfaced process trigger is now stale; no current primary docket or sale process is verified.</x:v>
      </x:c>
      <x:c r="E17" s="75" t="str">
        <x:v>Pull current Cook County docket/receiver order and verify servicer, borrower, balance, and sale/workout timetable.</x:v>
      </x:c>
      <x:c r="F17" s="75" t="str">
        <x:v>https://therealdeal.com/chicago/2026/05/19/chicago-cmbs-foreclosure-hits-lowenstein-apartments/ | 2026-05-19</x:v>
      </x:c>
    </x:row>
    <x:row r="18" ht="62" customHeight="1">
      <x:c r="A18" s="75" t="str">
        <x:v>FL-007</x:v>
      </x:c>
      <x:c r="B18" s="75" t="str">
        <x:v>Active Sale / 70</x:v>
      </x:c>
      <x:c r="C18" s="75" t="str">
        <x:v>650 SW 1st St, Miami — no explicit total ask</x:v>
      </x:c>
      <x:c r="D18" s="75" t="str">
        <x:v>Tier 1 listing is available; header says 21 units, while text specifies 21 residential units plus one 450-SF retail suite. It gives $519,048 per residential unit, but no explicit total ask or individual sale contact.</x:v>
      </x:c>
      <x:c r="E18" s="75" t="str">
        <x:v>Obtain signed mandate / explicit total ask, rent roll, retail-income share, restriction confirmation, and named broker contact.</x:v>
      </x:c>
      <x:c r="F18" s="75" t="str">
        <x:v>https://www.loopnet.com/Listing/650-SW-1st-St-Miami-FL/41764910/ | listed 2026-08-15; reviewed 2026-09-01</x:v>
      </x:c>
    </x:row>
    <x:row r="19" ht="62" customHeight="1">
      <x:c r="A19" s="75" t="str">
        <x:v>FL-008</x:v>
      </x:c>
      <x:c r="B19" s="75" t="str">
        <x:v>Active Sale / 68</x:v>
      </x:c>
      <x:c r="C19" s="75" t="str">
        <x:v>300 Majorca Ave, Coral Gables — $12.75M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2026-09-01</x:v>
      </x:c>
    </x:row>
    <x:row r="20" ht="62"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2026-09-01</x:v>
      </x:c>
    </x:row>
    <x:row r="21" ht="62"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62"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2026-09-01</x:v>
      </x:c>
    </x:row>
    <x:row r="23" ht="62"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2026-09-01</x:v>
      </x:c>
    </x:row>
    <x:row r="24" ht="62"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2026-09-01</x:v>
      </x:c>
    </x:row>
    <x:row r="25" ht="62"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2026-09-01</x:v>
      </x:c>
    </x:row>
    <x:row r="26" ht="62"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2026-09-01</x:v>
      </x:c>
    </x:row>
    <x:row r="27" ht="62"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2026-09-01</x:v>
      </x:c>
    </x:row>
    <x:row r="28" ht="62"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2026-09-01</x:v>
      </x:c>
    </x:row>
    <x:row r="30">
      <x:c r="A30" s="133" t="str">
        <x:v>Exclusions, controls, and coverage gaps</x:v>
      </x:c>
      <x:c r="B30" s="133"/>
      <x:c r="C30" s="133"/>
      <x:c r="D30" s="133"/>
      <x:c r="E30" s="133"/>
      <x:c r="F30" s="133"/>
      <x:c r="G30" s="133"/>
      <x:c r="H30" s="133"/>
      <x:c r="I30" s="133"/>
      <x:c r="J30" s="133"/>
      <x:c r="K30" s="133"/>
      <x:c r="L30" s="133"/>
      <x:c r="M30" s="133"/>
      <x:c r="N30" s="133"/>
      <x:c r="O30" s="133"/>
      <x:c r="P30" s="133"/>
      <x:c r="Q30" s="133"/>
      <x:c r="R30" s="133"/>
      <x:c r="S30" s="133"/>
      <x:c r="T30" s="133"/>
      <x:c r="U30" s="133"/>
    </x:row>
    <x:row r="31">
      <x:c r="A31" s="135" t="str">
        <x:v>Item</x:v>
      </x:c>
      <x:c r="B31" s="135" t="str">
        <x:v>Classification / reason</x:v>
      </x:c>
      <x:c r="C31" s="135" t="str">
        <x:v>Evidence and action</x:v>
      </x:c>
      <x:c r="D31" s="135"/>
      <x:c r="E31" s="135"/>
      <x:c r="F31" s="135"/>
      <x:c r="G31" s="135"/>
      <x:c r="H31" s="135"/>
      <x:c r="I31" s="135"/>
      <x:c r="J31" s="135"/>
      <x:c r="K31" s="135"/>
      <x:c r="L31" s="135"/>
      <x:c r="M31" s="135"/>
      <x:c r="N31" s="135"/>
      <x:c r="O31" s="135"/>
      <x:c r="P31" s="135"/>
      <x:c r="Q31" s="135"/>
      <x:c r="R31" s="135"/>
      <x:c r="S31" s="135"/>
      <x:c r="T31" s="135"/>
      <x:c r="U31" s="135"/>
    </x:row>
    <x:row r="32" ht="60"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0"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0" customHeight="1">
      <x:c r="A37" s="75" t="str">
        <x:v>Kenmore East — Chicago</x:v>
      </x:c>
      <x:c r="B37" s="75" t="str">
        <x:v>Excluded — current availability unverified</x:v>
      </x:c>
      <x:c r="C37" s="75" t="str">
        <x:v>Direct listing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0"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0"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5:F15"/>
    <x:mergeCell ref="A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5" hidden="0" customWidth="1"/>
    <x:col min="4" max="4" width="23" hidden="0" customWidth="1"/>
    <x:col min="5" max="5" width="8" hidden="0" customWidth="1"/>
    <x:col min="6" max="6" width="13" hidden="0" customWidth="1"/>
    <x:col min="7" max="7" width="25" hidden="0" customWidth="1"/>
    <x:col min="8" max="8" width="18" hidden="0" customWidth="1"/>
    <x:col min="9" max="9" width="8" hidden="0" customWidth="1"/>
    <x:col min="10" max="10" width="16" hidden="0" customWidth="1"/>
    <x:col min="11" max="11" width="31" hidden="0" customWidth="1"/>
    <x:col min="12" max="12" width="43" hidden="0" customWidth="1"/>
    <x:col min="13" max="13" width="34" hidden="0" customWidth="1"/>
    <x:col min="14" max="14" width="34" hidden="0" customWidth="1"/>
    <x:col min="15" max="15" width="35" hidden="0" customWidth="1"/>
    <x:col min="16" max="16" width="21" hidden="0" customWidth="1"/>
    <x:col min="17" max="17" width="12" hidden="0" customWidth="1"/>
    <x:col min="18" max="18" width="20" hidden="0" customWidth="1"/>
    <x:col min="19" max="19" width="33" hidden="0" customWidth="1"/>
    <x:col min="20" max="20" width="52" hidden="0" customWidth="1"/>
    <x:col min="21" max="21" width="28" hidden="0" customWidth="1"/>
  </x:cols>
  <x:sheetData>
    <x:row r="1" ht="28" customHeight="1">
      <x:c r="A1" s="160" t="str">
        <x:v>Light Tower Group — Daily $10M+ Multifamily Sale &amp; Capital Opportunity Engine</x:v>
      </x:c>
      <x:c r="B1" s="160"/>
      <x:c r="C1" s="160"/>
      <x:c r="D1" s="160"/>
      <x:c r="E1" s="160"/>
      <x:c r="F1" s="160"/>
      <x:c r="G1" s="160"/>
      <x:c r="H1" s="160"/>
      <x:c r="I1" s="160"/>
      <x:c r="J1" s="160"/>
      <x:c r="K1" s="160"/>
      <x:c r="L1" s="160"/>
      <x:c r="M1" s="160"/>
      <x:c r="N1" s="160"/>
      <x:c r="O1" s="160"/>
      <x:c r="P1" s="160"/>
      <x:c r="Q1" s="160"/>
      <x:c r="R1" s="160"/>
      <x:c r="S1" s="160"/>
      <x:c r="T1" s="160"/>
      <x:c r="U1" s="160"/>
    </x:row>
    <x:row r="2" ht="30" customHeight="1">
      <x:c r="A2" s="144" t="str">
        <x:v>Run date: September 2, 2026 | Report-only | Targeted public-source sweep | No prospect outreach prepared, queued, scheduled, implied, or sent.</x:v>
      </x:c>
      <x:c r="B2" s="144"/>
      <x:c r="C2" s="144"/>
      <x:c r="D2" s="144"/>
      <x:c r="E2" s="144"/>
      <x:c r="F2" s="144"/>
      <x:c r="G2" s="144"/>
      <x:c r="H2" s="144"/>
      <x:c r="I2" s="144"/>
      <x:c r="J2" s="144"/>
      <x:c r="K2" s="144"/>
      <x:c r="L2" s="144"/>
      <x:c r="M2" s="144"/>
      <x:c r="N2" s="144"/>
      <x:c r="O2" s="144"/>
      <x:c r="P2" s="144"/>
      <x:c r="Q2" s="144"/>
      <x:c r="R2" s="144"/>
      <x:c r="S2" s="144"/>
      <x:c r="T2" s="144"/>
      <x:c r="U2" s="144"/>
    </x:row>
    <x:row r="4">
      <x:c r="A4" s="147" t="str">
        <x:v>Action queue</x:v>
      </x:c>
      <x:c r="B4" s="147" t="str">
        <x:v>Count</x:v>
      </x:c>
      <x:c r="D4" s="147" t="str">
        <x:v>Pipeline</x:v>
      </x:c>
      <x:c r="E4" s="147" t="str">
        <x:v>Count</x:v>
      </x:c>
    </x:row>
    <x:row r="5">
      <x:c r="A5" s="67" t="str">
        <x:v>Priority (85+)</x:v>
      </x:c>
      <x:c r="B5" s="69" t="n">
        <x:v>0</x:v>
      </x:c>
      <x:c r="D5" s="67" t="str">
        <x:v>Watch (65–74)</x:v>
      </x:c>
      <x:c r="E5" s="69" t="n">
        <x:v>12</x:v>
      </x:c>
    </x:row>
    <x:row r="6">
      <x:c r="A6" s="67" t="str">
        <x:v>Qualified (75–84)</x:v>
      </x:c>
      <x:c r="B6" s="69" t="n">
        <x:v>2</x:v>
      </x:c>
      <x:c r="D6" s="67" t="str">
        <x:v>New Watch items</x:v>
      </x:c>
      <x:c r="E6" s="69" t="n">
        <x:v>0</x:v>
      </x:c>
    </x:row>
    <x:row r="7">
      <x:c r="A7" s="67" t="str">
        <x:v>New qualified action leads</x:v>
      </x:c>
      <x:c r="B7" s="69" t="n">
        <x:v>0</x:v>
      </x:c>
      <x:c r="D7" s="67" t="str">
        <x:v>New exclusions</x:v>
      </x:c>
      <x:c r="E7" s="69" t="n">
        <x:v>1</x:v>
      </x:c>
    </x:row>
    <x:row r="9">
      <x:c r="A9" s="148" t="str">
        <x:v>Action Queue — qualified only (75–84); each item clears the $10M gate and has a current Tier 1 source.</x:v>
      </x:c>
      <x:c r="B9" s="148"/>
      <x:c r="C9" s="148"/>
      <x:c r="D9" s="148"/>
      <x:c r="E9" s="148"/>
      <x:c r="F9" s="148"/>
      <x:c r="G9" s="148"/>
      <x:c r="H9" s="148"/>
      <x:c r="I9" s="148"/>
      <x:c r="J9" s="148"/>
      <x:c r="K9" s="148"/>
      <x:c r="L9" s="148"/>
      <x:c r="M9" s="148"/>
      <x:c r="N9" s="148"/>
      <x:c r="O9" s="148"/>
      <x:c r="P9" s="148"/>
      <x:c r="Q9" s="148"/>
      <x:c r="R9" s="148"/>
      <x:c r="S9" s="148"/>
      <x:c r="T9" s="148"/>
      <x:c r="U9" s="148"/>
    </x:row>
    <x:row r="10" ht="36" customHeight="1">
      <x:c r="A10" s="152" t="str">
        <x:v>Lead ID</x:v>
      </x:c>
      <x:c r="B10" s="152" t="str">
        <x:v>Asset</x:v>
      </x:c>
      <x:c r="C10" s="152" t="str">
        <x:v>Class</x:v>
      </x:c>
      <x:c r="D10" s="152" t="str">
        <x:v>$10M Gate</x:v>
      </x:c>
      <x:c r="E10" s="152" t="str">
        <x:v>Score</x:v>
      </x:c>
      <x:c r="F10" s="152" t="str">
        <x:v>Run Status</x:v>
      </x:c>
      <x:c r="G10" s="152" t="str">
        <x:v>Address</x:v>
      </x:c>
      <x:c r="H10" s="152" t="str">
        <x:v>MSA</x:v>
      </x:c>
      <x:c r="I10" s="152" t="str">
        <x:v>Units</x:v>
      </x:c>
      <x:c r="J10" s="152" t="str">
        <x:v>Asking / Debt ($)</x:v>
      </x:c>
      <x:c r="K10" s="152" t="str">
        <x:v>Owner / Sponsor / Lender / Broker</x:v>
      </x:c>
      <x:c r="L10" s="152" t="str">
        <x:v>Observed Facts</x:v>
      </x:c>
      <x:c r="M10" s="152" t="str">
        <x:v>Inference</x:v>
      </x:c>
      <x:c r="N10" s="152" t="str">
        <x:v>Counterargument</x:v>
      </x:c>
      <x:c r="O10" s="152" t="str">
        <x:v>Light Tower Angle</x:v>
      </x:c>
      <x:c r="P10" s="152" t="str">
        <x:v>Observed / Listing Date</x:v>
      </x:c>
      <x:c r="Q10" s="152" t="str">
        <x:v>Source Tier</x:v>
      </x:c>
      <x:c r="R10" s="152" t="str">
        <x:v>Current Availability</x:v>
      </x:c>
      <x:c r="S10" s="152" t="str">
        <x:v>Verified Public Contact</x:v>
      </x:c>
      <x:c r="T10" s="152" t="str">
        <x:v>Source URL</x:v>
      </x:c>
      <x:c r="U10" s="152" t="str">
        <x:v>Score detail</x:v>
      </x:c>
    </x:row>
    <x:row r="11" ht="94"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is currently available Sept. 2: 2019 Class A, 18-unit apartment property, stated 100% occupancy and 4.60% cap rate; listed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2026-09-02</x:v>
      </x:c>
      <x:c r="Q11" s="75" t="str">
        <x:v>Tier 1</x:v>
      </x:c>
      <x:c r="R11" s="75" t="str">
        <x:v>Currently available</x:v>
      </x:c>
      <x:c r="S11" s="75" t="str">
        <x:v>Alex Galuz, KW Commercial, +1 310-466-0888</x:v>
      </x:c>
      <x:c r="T11" s="75" t="str">
        <x:v>https://www.loopnet.com/Listing/3675-Dunn-Dr-Los-Angeles-CA/41534752/</x:v>
      </x:c>
      <x:c r="U11" s="75" t="str">
        <x:v>35 sale + 0 capital + 15 fit + 9 execution + 15 evidence + 5 contact = 79</x:v>
      </x:c>
    </x:row>
    <x:row r="12" ht="94"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is currently available Sept. 2: 172 apartments, stated 98% occupancy, R-4 zoning, and a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2026-09-02</x:v>
      </x:c>
      <x:c r="Q12" s="75" t="str">
        <x:v>Tier 1</x:v>
      </x:c>
      <x:c r="R12" s="75" t="str">
        <x:v>Currently available</x:v>
      </x:c>
      <x:c r="S12" s="75" t="str">
        <x:v>Brian Mond, 33 Realty, +1 773-615-2626; George Benitez, 33 Realty, +1 239-443-0768</x:v>
      </x:c>
      <x:c r="T12" s="75" t="str">
        <x:v>https://www.loopnet.com/Listing/5501-W-Washington-Blvd-Chicago-IL/41395207/</x:v>
      </x:c>
      <x:c r="U12" s="75" t="str">
        <x:v>35 sale + 0 capital + 14 fit + 9 execution + 15 evidence + 5 contact = 78</x:v>
      </x:c>
    </x:row>
    <x:row r="14">
      <x:c r="A14" s="154" t="str">
        <x:v>Watch (65–74) — verification required before promotion</x:v>
      </x:c>
      <x:c r="B14" s="154"/>
      <x:c r="C14" s="154"/>
      <x:c r="D14" s="154"/>
      <x:c r="E14" s="154"/>
      <x:c r="F14" s="154"/>
      <x:c r="G14" s="154"/>
    </x:row>
    <x:row r="15">
      <x:c r="A15" s="155" t="str">
        <x:v>Lead ID</x:v>
      </x:c>
      <x:c r="B15" s="155" t="str">
        <x:v>Class / Score</x:v>
      </x:c>
      <x:c r="C15" s="155" t="str">
        <x:v>$10M Gate / Asset</x:v>
      </x:c>
      <x:c r="D15" s="155" t="str">
        <x:v>Observed facts</x:v>
      </x:c>
      <x:c r="E15" s="155" t="str">
        <x:v>Inference / counterargument</x:v>
      </x:c>
      <x:c r="F15" s="155" t="str">
        <x:v>Exact next verification step</x:v>
      </x:c>
      <x:c r="G15" s="155" t="str">
        <x:v>Source / date</x:v>
      </x:c>
    </x:row>
    <x:row r="16" ht="70" customHeight="1">
      <x:c r="A16" s="75" t="str">
        <x:v>CHI-001</x:v>
      </x:c>
      <x:c r="B16" s="75" t="str">
        <x:v>Capital Event / 74</x:v>
      </x:c>
      <x:c r="C16" s="75" t="str">
        <x:v>Drexel Terraces, Chicago — $31.0M original CMBS debt; 116 units</x:v>
      </x:c>
      <x:c r="D16" s="75" t="str">
        <x:v>May 19 Tier 2 reporting names payment default, receiver motion, and roughly $35M foreclosure claim. Last process trigger is now stale.</x:v>
      </x:c>
      <x:c r="E16" s="75" t="str">
        <x:v>No current primary docket, receiver, lender, or servicer sale/workout record; cap score below action status.</x:v>
      </x:c>
      <x:c r="F16" s="75" t="str">
        <x:v>Pull current Cook County docket/receiver order; verify servicer, borrower, balance, and sale/workout timetable.</x:v>
      </x:c>
      <x:c r="G16" s="75" t="str">
        <x:v>https://therealdeal.com/chicago/2026/05/19/chicago-cmbs-foreclosure-hits-lowenstein-apartments/ | 2026-05-19</x:v>
      </x:c>
    </x:row>
    <x:row r="17" ht="70" customHeight="1">
      <x:c r="A17" s="75" t="str">
        <x:v>CHI-003</x:v>
      </x:c>
      <x:c r="B17" s="75" t="str">
        <x:v>Capital Event / 74</x:v>
      </x:c>
      <x:c r="C17" s="75" t="str">
        <x:v>4520–26 S. Drexel Blvd., Chicago</x:v>
      </x:c>
      <x:c r="D17" s="75" t="str">
        <x:v>Secondary foreclosure reporting remains insufficient as primary process evidence.</x:v>
      </x:c>
      <x:c r="E17" s="75" t="str">
        <x:v>Asset/counterparty linkage and a sale timetable are not verified by Tier 1 evidence.</x:v>
      </x:c>
      <x:c r="F17" s="75" t="str">
        <x:v>Obtain Cook County primary docket and receiver order; verify servicer and sale timetable.</x:v>
      </x:c>
      <x:c r="G17" s="75" t="str">
        <x:v>Prior public reporting; reviewed 2026-09-02</x:v>
      </x:c>
    </x:row>
    <x:row r="18" ht="70" customHeight="1">
      <x:c r="A18" s="75" t="str">
        <x:v>FL-003</x:v>
      </x:c>
      <x:c r="B18" s="75" t="str">
        <x:v>Active Sale / 74</x:v>
      </x:c>
      <x:c r="C18" s="75" t="str">
        <x:v>California Club Apartments, Miami — $11.0M / 64 apartments</x:v>
      </x:c>
      <x:c r="D18" s="75" t="str">
        <x:v>Known direct listing; exclusive mandate and restriction confirmation are pending.</x:v>
      </x:c>
      <x:c r="E18" s="75" t="str">
        <x:v>No current OM/rent roll or named broker is in the verified file.</x:v>
      </x:c>
      <x:c r="F18" s="75" t="str">
        <x:v>Obtain exclusive mandate, current OM/rent roll, named broker, and restriction confirmation.</x:v>
      </x:c>
      <x:c r="G18" s="75" t="str">
        <x:v>Prior direct listing; reviewed 2026-09-02</x:v>
      </x:c>
    </x:row>
    <x:row r="19" ht="70" customHeight="1">
      <x:c r="A19" s="75" t="str">
        <x:v>FL-001</x:v>
      </x:c>
      <x:c r="B19" s="75" t="str">
        <x:v>Active Sale / 73</x:v>
      </x:c>
      <x:c r="C19" s="75" t="str">
        <x:v>Gables Galiano, Coral Gables — $20.0M / 27 apartments</x:v>
      </x:c>
      <x:c r="D19" s="75" t="str">
        <x:v>Public active status persists.</x:v>
      </x:c>
      <x:c r="E19" s="75" t="str">
        <x:v>Current broker mandate and seller intent are not independently confirmed.</x:v>
      </x:c>
      <x:c r="F19" s="75" t="str">
        <x:v>Obtain current broker mandate, seller intent, and price-flexibility confirmation.</x:v>
      </x:c>
      <x:c r="G19" s="75" t="str">
        <x:v>https://www.compass.com/building/c-gab-douglas-sec-coral-gables-fl/757308186771136541/ | reviewed 2026-09-02</x:v>
      </x:c>
    </x:row>
    <x:row r="20" ht="70" customHeight="1">
      <x:c r="A20" s="75" t="str">
        <x:v>NY-001</x:v>
      </x:c>
      <x:c r="B20" s="75" t="str">
        <x:v>Active Sale / 73</x:v>
      </x:c>
      <x:c r="C20" s="75" t="str">
        <x:v>30-unit multifamily portfolio, NYC</x:v>
      </x:c>
      <x:c r="D20" s="75" t="str">
        <x:v>Need component-building regulatory checks and current pricing/mandate.</x:v>
      </x:c>
      <x:c r="E20" s="75" t="str">
        <x:v>Regulatory status and current process cannot be inferred from prior discovery.</x:v>
      </x:c>
      <x:c r="F20" s="75" t="str">
        <x:v>Obtain current mandate, component-building regulatory checks, and current pricing.</x:v>
      </x:c>
      <x:c r="G20" s="75" t="str">
        <x:v>Prior public listing; reviewed 2026-09-02</x:v>
      </x:c>
    </x:row>
    <x:row r="21" ht="70" customHeight="1">
      <x:c r="A21" s="75" t="str">
        <x:v>LA-009</x:v>
      </x:c>
      <x:c r="B21" s="75" t="str">
        <x:v>Active Sale / 72</x:v>
      </x:c>
      <x:c r="C21" s="75" t="str">
        <x:v>1400 Venice Blvd., Los Angeles — $12.95M / 31 units</x:v>
      </x:c>
      <x:c r="D21" s="75" t="str">
        <x:v>Current offering still lacks a recorded dated exclusive / MLS entry.</x:v>
      </x:c>
      <x:c r="E21" s="75" t="str">
        <x:v>Mandatory listing-date and availability gate is not cleared.</x:v>
      </x:c>
      <x:c r="F21" s="75" t="str">
        <x:v>Obtain dated exclusive or MLS, current availability, and OM.</x:v>
      </x:c>
      <x:c r="G21" s="75" t="str">
        <x:v>Prior public listing; reviewed 2026-09-02</x:v>
      </x:c>
    </x:row>
    <x:row r="22" ht="70" customHeight="1">
      <x:c r="A22" s="75" t="str">
        <x:v>LA-003</x:v>
      </x:c>
      <x:c r="B22" s="75" t="str">
        <x:v>Active Sale / 72</x:v>
      </x:c>
      <x:c r="C22" s="75" t="str">
        <x:v>Nabi Apartments, Los Angeles</x:v>
      </x:c>
      <x:c r="D22" s="75" t="str">
        <x:v>Offering source lacks mandatory listing date and current mandate confirmation.</x:v>
      </x:c>
      <x:c r="E22" s="75" t="str">
        <x:v>Date and current process cannot be inferred.</x:v>
      </x:c>
      <x:c r="F22" s="75" t="str">
        <x:v>Obtain current mandate, dated listing, covenant status, and T-12.</x:v>
      </x:c>
      <x:c r="G22" s="75" t="str">
        <x:v>Prior public listing; reviewed 2026-09-02</x:v>
      </x:c>
    </x:row>
    <x:row r="23" ht="70" customHeight="1">
      <x:c r="A23" s="75" t="str">
        <x:v>LA-008</x:v>
      </x:c>
      <x:c r="B23" s="75" t="str">
        <x:v>Active Sale / 71</x:v>
      </x:c>
      <x:c r="C23" s="75" t="str">
        <x:v>The Cooper Hollywood — $18.195M / 75 units</x:v>
      </x:c>
      <x:c r="D23" s="75" t="str">
        <x:v>Current listing found; RSO status remains unverified.</x:v>
      </x:c>
      <x:c r="E23" s="75" t="str">
        <x:v>Regulatory uncertainty prevents primary-queue promotion.</x:v>
      </x:c>
      <x:c r="F23" s="75" t="str">
        <x:v>Obtain HCIDLA RSO determination and OM rent-regulation disclosure.</x:v>
      </x:c>
      <x:c r="G23" s="75" t="str">
        <x:v>Prior direct listing; reviewed 2026-09-02</x:v>
      </x:c>
    </x:row>
    <x:row r="24" ht="70" customHeight="1">
      <x:c r="A24" s="75" t="str">
        <x:v>FL-006</x:v>
      </x:c>
      <x:c r="B24" s="75" t="str">
        <x:v>Capital Event / 71</x:v>
      </x:c>
      <x:c r="C24" s="75" t="str">
        <x:v>The Genesis Clearwater — 372 units</x:v>
      </x:c>
      <x:c r="D24" s="75" t="str">
        <x:v>Aug. 11 reporting identifies foreclosure without verified complaint, balance, lender/borrower linkage, or restrictions.</x:v>
      </x:c>
      <x:c r="E24" s="75" t="str">
        <x:v>Tier 2 evidence supports monitoring only.</x:v>
      </x:c>
      <x:c r="F24" s="75" t="str">
        <x:v>Pull Pinellas complaint, mortgage/assignment, balance, lender/borrower linkage, restriction evidence, and current deal contact.</x:v>
      </x:c>
      <x:c r="G24" s="75" t="str">
        <x:v>https://www.bizjournals.com/tampabay/news/2026/08/11/genesis-clearwater-apartment-foreclosure.html | 2026-08-11</x:v>
      </x:c>
    </x:row>
    <x:row r="25" ht="70" customHeight="1">
      <x:c r="A25" s="75" t="str">
        <x:v>FL-007</x:v>
      </x:c>
      <x:c r="B25" s="75" t="str">
        <x:v>Active Sale / 70</x:v>
      </x:c>
      <x:c r="C25" s="75" t="str">
        <x:v>650 SW 1st St., Miami — no explicit total ask</x:v>
      </x:c>
      <x:c r="D25" s="75" t="str">
        <x:v>Tier 1 listing is available and states 21 residential units plus one 450-SF retail suite; it publishes $519,048 per residential unit but no total ask.</x:v>
      </x:c>
      <x:c r="E25" s="75" t="str">
        <x:v>Implied value is not an explicit $10M+ asking-price gate; the small retail suite and absence of named sale contact add risk.</x:v>
      </x:c>
      <x:c r="F25" s="75" t="str">
        <x:v>Obtain signed mandate / explicit total ask, rent roll, retail-income share, restriction confirmation, and named broker contact.</x:v>
      </x:c>
      <x:c r="G25" s="75" t="str">
        <x:v>https://www.loopnet.com/Listing/650-SW-1st-St-Miami-FL/41764910/ | listed 2026-08-15; reviewed 2026-09-02</x:v>
      </x:c>
    </x:row>
    <x:row r="26" ht="70" customHeight="1">
      <x:c r="A26" s="75" t="str">
        <x:v>FL-005</x:v>
      </x:c>
      <x:c r="B26" s="75" t="str">
        <x:v>Capital Event / 69</x:v>
      </x:c>
      <x:c r="C26" s="75" t="str">
        <x:v>The Wave Apartments, Tampa — $26M mortgage</x:v>
      </x:c>
      <x:c r="D26" s="75" t="str">
        <x:v>Tier 2 July reporting describes a mortgage default; primary foreclosure record is not in file.</x:v>
      </x:c>
      <x:c r="E26" s="75" t="str">
        <x:v>Lender/borrower linkage, balance, and restriction status remain unverified.</x:v>
      </x:c>
      <x:c r="F26" s="75" t="str">
        <x:v>Pull Hillsborough complaint, mortgage/assignment, lender/borrower linkage, and restriction evidence.</x:v>
      </x:c>
      <x:c r="G26" s="75" t="str">
        <x:v>Prior public reporting; reviewed 2026-09-02</x:v>
      </x:c>
    </x:row>
    <x:row r="27" ht="70" customHeight="1">
      <x:c r="A27" s="75" t="str">
        <x:v>FL-008</x:v>
      </x:c>
      <x:c r="B27" s="75" t="str">
        <x:v>Active Sale / 68</x:v>
      </x:c>
      <x:c r="C27" s="75" t="str">
        <x:v>300 Majorca Ave., Coral Gables — $12.75M / 17 apartments</x:v>
      </x:c>
      <x:c r="D27" s="75" t="str">
        <x:v>Public broker listing identifies a 17-unit rental building, but visible record has no current market date; originally built as condos.</x:v>
      </x:c>
      <x:c r="E27" s="75" t="str">
        <x:v>Mandatory listing-date and rental/covenant gates remain unresolved.</x:v>
      </x:c>
      <x:c r="F27" s="75" t="str">
        <x:v>Obtain current Marcus &amp; Millichap mandate, listing date, rental-vs-condo status, and rent-regulation/covenant confirmation.</x:v>
      </x:c>
      <x:c r="G27" s="75" t="str">
        <x:v>https://www.showcase.com/300-majorca-ave-coral-gables-fl-33134/31157564/ | reviewed 2026-09-02</x:v>
      </x:c>
    </x:row>
    <x:row r="29">
      <x:c r="A29" s="157" t="str">
        <x:v>Exclusions, controls, and coverage gaps</x:v>
      </x:c>
      <x:c r="B29" s="157"/>
      <x:c r="C29" s="157"/>
      <x:c r="D29" s="157"/>
      <x:c r="E29" s="157"/>
      <x:c r="F29" s="157"/>
      <x:c r="G29" s="157"/>
      <x:c r="H29" s="157"/>
      <x:c r="I29" s="157"/>
      <x:c r="J29" s="157"/>
      <x:c r="K29" s="157"/>
      <x:c r="L29" s="157"/>
      <x:c r="M29" s="157"/>
      <x:c r="N29" s="157"/>
      <x:c r="O29" s="157"/>
      <x:c r="P29" s="157"/>
      <x:c r="Q29" s="157"/>
      <x:c r="R29" s="157"/>
      <x:c r="S29" s="157"/>
      <x:c r="T29" s="157"/>
      <x:c r="U29" s="157"/>
    </x:row>
    <x:row r="30">
      <x:c r="A30" s="159" t="str">
        <x:v>Item</x:v>
      </x:c>
      <x:c r="B30" s="159" t="str">
        <x:v>Classification / reason</x:v>
      </x:c>
      <x:c r="C30" s="159" t="str">
        <x:v>Evidence and action</x:v>
      </x:c>
      <x:c r="D30" s="159"/>
      <x:c r="E30" s="159"/>
      <x:c r="F30" s="159"/>
      <x:c r="G30" s="159"/>
      <x:c r="H30" s="159"/>
      <x:c r="I30" s="159"/>
      <x:c r="J30" s="159"/>
      <x:c r="K30" s="159"/>
      <x:c r="L30" s="159"/>
      <x:c r="M30" s="159"/>
      <x:c r="N30" s="159"/>
      <x:c r="O30" s="159"/>
      <x:c r="P30" s="159"/>
      <x:c r="Q30" s="159"/>
      <x:c r="R30" s="159"/>
      <x:c r="S30" s="159"/>
      <x:c r="T30" s="159"/>
      <x:c r="U30" s="159"/>
    </x:row>
    <x:row r="31" ht="62" customHeight="1">
      <x:c r="A31" s="75" t="str">
        <x:v>PHI-006 — 2328–2344 N. 2nd St., Philadelphia</x:v>
      </x:c>
      <x:c r="B31" s="75" t="str">
        <x:v>Excluded — materially mixed asset / adjacent development parcels</x:v>
      </x:c>
      <x:c r="C31" s="75" t="str">
        <x:v>Sept. 2 Tier 1 listing is active at $11,999,999 and 33 apartments, but expressly includes 3,750 SF of ground-floor retail across two suites plus four adjacent parcels conditionally approved for townhomes. It does not fit the primary conventional-rental-only queue without specific authorization. https://www.loopnet.com/Listing/2328-2344-N-2nd-St-Philadelphia-PA/41009347/</x:v>
      </x:c>
      <x:c r="D31" s="75"/>
      <x:c r="E31" s="75"/>
      <x:c r="F31" s="75"/>
      <x:c r="G31" s="75"/>
      <x:c r="H31" s="75"/>
      <x:c r="I31" s="75"/>
      <x:c r="J31" s="75"/>
      <x:c r="K31" s="75"/>
      <x:c r="L31" s="75"/>
      <x:c r="M31" s="75"/>
      <x:c r="N31" s="75"/>
      <x:c r="O31" s="75"/>
      <x:c r="P31" s="75"/>
      <x:c r="Q31" s="75"/>
      <x:c r="R31" s="75"/>
      <x:c r="S31" s="75"/>
      <x:c r="T31" s="75"/>
      <x:c r="U31" s="75"/>
    </x:row>
    <x:row r="32" ht="62"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2"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2" customHeight="1">
      <x:c r="A34" s="75" t="str">
        <x:v>Sunshine and 2629 NW 17th — Miami</x:v>
      </x:c>
      <x:c r="B34" s="75" t="str">
        <x:v>Excluded — development / materially mixed 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2"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2"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2" customHeight="1">
      <x:c r="A37" s="75" t="str">
        <x:v>Kenmore East — Chicago</x:v>
      </x:c>
      <x:c r="B37" s="75" t="str">
        <x:v>Excluded — current availability unverified</x:v>
      </x:c>
      <x:c r="C37" s="75" t="str">
        <x:v>Direct listing is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2"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2"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4:G14"/>
    <x:mergeCell ref="A29:U29"/>
    <x:mergeCell ref="C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5" hidden="0" customWidth="1"/>
    <x:col min="4" max="4" width="23" hidden="0" customWidth="1"/>
    <x:col min="5" max="5" width="8" hidden="0" customWidth="1"/>
    <x:col min="6" max="6" width="13" hidden="0" customWidth="1"/>
    <x:col min="7" max="7" width="25" hidden="0" customWidth="1"/>
    <x:col min="8" max="8" width="18" hidden="0" customWidth="1"/>
    <x:col min="9" max="9" width="8" hidden="0" customWidth="1"/>
    <x:col min="10" max="10" width="16" hidden="0" customWidth="1"/>
    <x:col min="11" max="11" width="31" hidden="0" customWidth="1"/>
    <x:col min="12" max="12" width="43" hidden="0" customWidth="1"/>
    <x:col min="13" max="13" width="34" hidden="0" customWidth="1"/>
    <x:col min="14" max="14" width="34" hidden="0" customWidth="1"/>
    <x:col min="15" max="15" width="35" hidden="0" customWidth="1"/>
    <x:col min="16" max="16" width="21" hidden="0" customWidth="1"/>
    <x:col min="17" max="17" width="12" hidden="0" customWidth="1"/>
    <x:col min="18" max="18" width="20" hidden="0" customWidth="1"/>
    <x:col min="19" max="19" width="33" hidden="0" customWidth="1"/>
    <x:col min="20" max="20" width="52" hidden="0" customWidth="1"/>
    <x:col min="21" max="21" width="28" hidden="0" customWidth="1"/>
  </x:cols>
  <x:sheetData>
    <x:row r="1" ht="28" customHeight="1">
      <x:c r="A1" s="184" t="str">
        <x:v>Light Tower Group — Daily $10M+ Multifamily Sale &amp; Capital Opportunity Engine</x:v>
      </x:c>
      <x:c r="B1" s="184"/>
      <x:c r="C1" s="184"/>
      <x:c r="D1" s="184"/>
      <x:c r="E1" s="184"/>
      <x:c r="F1" s="184"/>
      <x:c r="G1" s="184"/>
      <x:c r="H1" s="184"/>
      <x:c r="I1" s="184"/>
      <x:c r="J1" s="184"/>
      <x:c r="K1" s="184"/>
      <x:c r="L1" s="184"/>
      <x:c r="M1" s="184"/>
      <x:c r="N1" s="184"/>
      <x:c r="O1" s="184"/>
      <x:c r="P1" s="184"/>
      <x:c r="Q1" s="184"/>
      <x:c r="R1" s="184"/>
      <x:c r="S1" s="184"/>
      <x:c r="T1" s="184"/>
      <x:c r="U1" s="184"/>
    </x:row>
    <x:row r="2" ht="30" customHeight="1">
      <x:c r="A2" s="168" t="str">
        <x:v>Run date: September 3, 2026 | Report-only | Targeted public-source sweep | No prospect outreach prepared, queued, scheduled, implied, or sent.</x:v>
      </x:c>
      <x:c r="B2" s="168"/>
      <x:c r="C2" s="168"/>
      <x:c r="D2" s="168"/>
      <x:c r="E2" s="168"/>
      <x:c r="F2" s="168"/>
      <x:c r="G2" s="168"/>
      <x:c r="H2" s="168"/>
      <x:c r="I2" s="168"/>
      <x:c r="J2" s="168"/>
      <x:c r="K2" s="168"/>
      <x:c r="L2" s="168"/>
      <x:c r="M2" s="168"/>
      <x:c r="N2" s="168"/>
      <x:c r="O2" s="168"/>
      <x:c r="P2" s="168"/>
      <x:c r="Q2" s="168"/>
      <x:c r="R2" s="168"/>
      <x:c r="S2" s="168"/>
      <x:c r="T2" s="168"/>
      <x:c r="U2" s="168"/>
    </x:row>
    <x:row r="4">
      <x:c r="A4" s="171" t="str">
        <x:v>Action queue</x:v>
      </x:c>
      <x:c r="B4" s="171" t="str">
        <x:v>Count</x:v>
      </x:c>
      <x:c r="D4" s="171" t="str">
        <x:v>Pipeline</x:v>
      </x:c>
      <x:c r="E4" s="171" t="str">
        <x:v>Count</x:v>
      </x:c>
    </x:row>
    <x:row r="5">
      <x:c r="A5" s="67" t="str">
        <x:v>Priority (85+)</x:v>
      </x:c>
      <x:c r="B5" s="69" t="n">
        <x:v>0</x:v>
      </x:c>
      <x:c r="D5" s="67" t="str">
        <x:v>Watch (65–74)</x:v>
      </x:c>
      <x:c r="E5" s="69" t="n">
        <x:v>12</x:v>
      </x:c>
    </x:row>
    <x:row r="6">
      <x:c r="A6" s="67" t="str">
        <x:v>Qualified (75–84)</x:v>
      </x:c>
      <x:c r="B6" s="69" t="n">
        <x:v>2</x:v>
      </x:c>
      <x:c r="D6" s="67" t="str">
        <x:v>New Watch items</x:v>
      </x:c>
      <x:c r="E6" s="69" t="n">
        <x:v>0</x:v>
      </x:c>
    </x:row>
    <x:row r="7">
      <x:c r="A7" s="67" t="str">
        <x:v>New qualified action leads</x:v>
      </x:c>
      <x:c r="B7" s="69" t="n">
        <x:v>0</x:v>
      </x:c>
      <x:c r="D7" s="67" t="str">
        <x:v>New exclusions</x:v>
      </x:c>
      <x:c r="E7" s="69" t="n">
        <x:v>1</x:v>
      </x:c>
    </x:row>
    <x:row r="9">
      <x:c r="A9" s="172" t="str">
        <x:v>Action Queue — qualified only (75–84); each item clears the $10M gate and has a current Tier 1 source.</x:v>
      </x:c>
      <x:c r="B9" s="172"/>
      <x:c r="C9" s="172"/>
      <x:c r="D9" s="172"/>
      <x:c r="E9" s="172"/>
      <x:c r="F9" s="172"/>
      <x:c r="G9" s="172"/>
      <x:c r="H9" s="172"/>
      <x:c r="I9" s="172"/>
      <x:c r="J9" s="172"/>
      <x:c r="K9" s="172"/>
      <x:c r="L9" s="172"/>
      <x:c r="M9" s="172"/>
      <x:c r="N9" s="172"/>
      <x:c r="O9" s="172"/>
      <x:c r="P9" s="172"/>
      <x:c r="Q9" s="172"/>
      <x:c r="R9" s="172"/>
      <x:c r="S9" s="172"/>
      <x:c r="T9" s="172"/>
      <x:c r="U9" s="172"/>
    </x:row>
    <x:row r="10" ht="36" customHeight="1">
      <x:c r="A10" s="176" t="str">
        <x:v>Lead ID</x:v>
      </x:c>
      <x:c r="B10" s="176" t="str">
        <x:v>Asset</x:v>
      </x:c>
      <x:c r="C10" s="176" t="str">
        <x:v>Class</x:v>
      </x:c>
      <x:c r="D10" s="176" t="str">
        <x:v>$10M Gate</x:v>
      </x:c>
      <x:c r="E10" s="176" t="str">
        <x:v>Score</x:v>
      </x:c>
      <x:c r="F10" s="176" t="str">
        <x:v>Run Status</x:v>
      </x:c>
      <x:c r="G10" s="176" t="str">
        <x:v>Address</x:v>
      </x:c>
      <x:c r="H10" s="176" t="str">
        <x:v>MSA</x:v>
      </x:c>
      <x:c r="I10" s="176" t="str">
        <x:v>Units</x:v>
      </x:c>
      <x:c r="J10" s="176" t="str">
        <x:v>Asking / Debt ($)</x:v>
      </x:c>
      <x:c r="K10" s="176" t="str">
        <x:v>Owner / Sponsor / Lender / Broker</x:v>
      </x:c>
      <x:c r="L10" s="176" t="str">
        <x:v>Observed Facts</x:v>
      </x:c>
      <x:c r="M10" s="176" t="str">
        <x:v>Inference</x:v>
      </x:c>
      <x:c r="N10" s="176" t="str">
        <x:v>Counterargument</x:v>
      </x:c>
      <x:c r="O10" s="176" t="str">
        <x:v>Light Tower Angle</x:v>
      </x:c>
      <x:c r="P10" s="176" t="str">
        <x:v>Observed / Listing Date</x:v>
      </x:c>
      <x:c r="Q10" s="176" t="str">
        <x:v>Source Tier</x:v>
      </x:c>
      <x:c r="R10" s="176" t="str">
        <x:v>Current Availability</x:v>
      </x:c>
      <x:c r="S10" s="176" t="str">
        <x:v>Verified Public Contact</x:v>
      </x:c>
      <x:c r="T10" s="176" t="str">
        <x:v>Source URL</x:v>
      </x:c>
      <x:c r="U10" s="176" t="str">
        <x:v>Score detail</x:v>
      </x:c>
    </x:row>
    <x:row r="11" ht="94"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is currently available Sept. 3: 2019 Class A, 18-unit apartment property, stated 100% occupancy and 4.60% cap rate; listed Aug. 3.</x:v>
      </x:c>
      <x:c r="M11" s="75" t="str">
        <x:v>Fresh conventional marketing supports buyer financing, acquisition-sale advisory, or senior refinance/recap.</x:v>
      </x:c>
      <x:c r="N11" s="75" t="str">
        <x:v>Older public sale-history pages and an archived broker sale tile refer to a 2023 sale; require current seller authority, rent roll/cap-rate assumptions, and any affordability covenant before engagement.</x:v>
      </x:c>
      <x:c r="O11" s="75" t="str">
        <x:v>Buyer financing / acquisition-sale advisory / senior refinance</x:v>
      </x:c>
      <x:c r="P11" s="75" t="str">
        <x:v>Listed 2026-08-03; reviewed 2026-09-03</x:v>
      </x:c>
      <x:c r="Q11" s="75" t="str">
        <x:v>Tier 1</x:v>
      </x:c>
      <x:c r="R11" s="75" t="str">
        <x:v>Currently available</x:v>
      </x:c>
      <x:c r="S11" s="75" t="str">
        <x:v>Alex Galuz, KW Commercial, +1 310-466-0888</x:v>
      </x:c>
      <x:c r="T11" s="75" t="str">
        <x:v>https://www.loopnet.com/Listing/3675-Dunn-Dr-Los-Angeles-CA/41534752/</x:v>
      </x:c>
      <x:c r="U11" s="75" t="str">
        <x:v>35 sale + 0 capital + 15 fit + 9 execution + 15 evidence + 5 contact = 79</x:v>
      </x:c>
    </x:row>
    <x:row r="12" ht="94"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is currently available Sept. 3: 172 apartments, stated 98% occupancy, R-4 zoning, and a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2026-09-03</x:v>
      </x:c>
      <x:c r="Q12" s="75" t="str">
        <x:v>Tier 1</x:v>
      </x:c>
      <x:c r="R12" s="75" t="str">
        <x:v>Currently available</x:v>
      </x:c>
      <x:c r="S12" s="75" t="str">
        <x:v>Brian Mond, 33 Realty, +1 773-615-2626; George Benitez, 33 Realty, +1 239-443-0768</x:v>
      </x:c>
      <x:c r="T12" s="75" t="str">
        <x:v>https://www.loopnet.com/Listing/5501-W-Washington-Blvd-Chicago-IL/41395207/</x:v>
      </x:c>
      <x:c r="U12" s="75" t="str">
        <x:v>35 sale + 0 capital + 14 fit + 9 execution + 15 evidence + 5 contact = 78</x:v>
      </x:c>
    </x:row>
    <x:row r="14">
      <x:c r="A14" s="178" t="str">
        <x:v>Watch (65–74) — verification required before promotion</x:v>
      </x:c>
      <x:c r="B14" s="178"/>
      <x:c r="C14" s="178"/>
      <x:c r="D14" s="178"/>
      <x:c r="E14" s="178"/>
      <x:c r="F14" s="178"/>
      <x:c r="G14" s="178"/>
    </x:row>
    <x:row r="15">
      <x:c r="A15" s="179" t="str">
        <x:v>Lead ID</x:v>
      </x:c>
      <x:c r="B15" s="179" t="str">
        <x:v>Class / Score</x:v>
      </x:c>
      <x:c r="C15" s="179" t="str">
        <x:v>$10M Gate / Asset</x:v>
      </x:c>
      <x:c r="D15" s="179" t="str">
        <x:v>Observed facts</x:v>
      </x:c>
      <x:c r="E15" s="179" t="str">
        <x:v>Inference / counterargument</x:v>
      </x:c>
      <x:c r="F15" s="179" t="str">
        <x:v>Exact next verification step</x:v>
      </x:c>
      <x:c r="G15" s="179" t="str">
        <x:v>Source / date</x:v>
      </x:c>
    </x:row>
    <x:row r="16" ht="70" customHeight="1">
      <x:c r="A16" s="75" t="str">
        <x:v>CHI-001</x:v>
      </x:c>
      <x:c r="B16" s="75" t="str">
        <x:v>Capital Event / 74</x:v>
      </x:c>
      <x:c r="C16" s="75" t="str">
        <x:v>Drexel Terraces, Chicago — $31.0M original CMBS debt; 116 units</x:v>
      </x:c>
      <x:c r="D16" s="75" t="str">
        <x:v>May 19 Tier 2 reporting names payment default, receiver motion, and roughly $35M foreclosure claim. Last process trigger remains stale.</x:v>
      </x:c>
      <x:c r="E16" s="75" t="str">
        <x:v>No current primary docket, receiver, lender, or servicer sale/workout record; cap score below action status.</x:v>
      </x:c>
      <x:c r="F16" s="75" t="str">
        <x:v>Pull current Cook County docket/receiver order; verify servicer, borrower, balance, and sale/workout timetable.</x:v>
      </x:c>
      <x:c r="G16" s="75" t="str">
        <x:v>https://therealdeal.com/chicago/2026/05/19/chicago-cmbs-foreclosure-hits-lowenstein-apartments/ | 2026-05-19</x:v>
      </x:c>
    </x:row>
    <x:row r="17" ht="70" customHeight="1">
      <x:c r="A17" s="75" t="str">
        <x:v>CHI-003</x:v>
      </x:c>
      <x:c r="B17" s="75" t="str">
        <x:v>Capital Event / 74</x:v>
      </x:c>
      <x:c r="C17" s="75" t="str">
        <x:v>4520–26 S. Drexel Blvd., Chicago</x:v>
      </x:c>
      <x:c r="D17" s="75" t="str">
        <x:v>Secondary foreclosure reporting remains insufficient as primary process evidence.</x:v>
      </x:c>
      <x:c r="E17" s="75" t="str">
        <x:v>Asset/counterparty linkage and a sale timetable are not verified by Tier 1 evidence.</x:v>
      </x:c>
      <x:c r="F17" s="75" t="str">
        <x:v>Obtain Cook County primary docket and receiver order; verify servicer and sale timetable.</x:v>
      </x:c>
      <x:c r="G17" s="75" t="str">
        <x:v>Prior public reporting; reviewed 2026-09-03</x:v>
      </x:c>
    </x:row>
    <x:row r="18" ht="70" customHeight="1">
      <x:c r="A18" s="75" t="str">
        <x:v>FL-003</x:v>
      </x:c>
      <x:c r="B18" s="75" t="str">
        <x:v>Active Sale / 74</x:v>
      </x:c>
      <x:c r="C18" s="75" t="str">
        <x:v>California Club Apartments, Miami — $11.0M / 64 apartments</x:v>
      </x:c>
      <x:c r="D18" s="75" t="str">
        <x:v>Known direct listing; exclusive mandate and restriction confirmation are pending.</x:v>
      </x:c>
      <x:c r="E18" s="75" t="str">
        <x:v>No current OM/rent roll or named broker is in the verified file.</x:v>
      </x:c>
      <x:c r="F18" s="75" t="str">
        <x:v>Obtain exclusive mandate, current OM/rent roll, named broker, and restriction confirmation.</x:v>
      </x:c>
      <x:c r="G18" s="75" t="str">
        <x:v>Prior direct listing; reviewed 2026-09-03</x:v>
      </x:c>
    </x:row>
    <x:row r="19" ht="70" customHeight="1">
      <x:c r="A19" s="75" t="str">
        <x:v>FL-001</x:v>
      </x:c>
      <x:c r="B19" s="75" t="str">
        <x:v>Active Sale / 73</x:v>
      </x:c>
      <x:c r="C19" s="75" t="str">
        <x:v>Gables Galiano, Coral Gables — $20.0M / 27 apartments</x:v>
      </x:c>
      <x:c r="D19" s="75" t="str">
        <x:v>Public active status persists.</x:v>
      </x:c>
      <x:c r="E19" s="75" t="str">
        <x:v>Current broker mandate and seller intent are not independently confirmed.</x:v>
      </x:c>
      <x:c r="F19" s="75" t="str">
        <x:v>Obtain current broker mandate, seller intent, and price-flexibility confirmation.</x:v>
      </x:c>
      <x:c r="G19" s="75" t="str">
        <x:v>https://www.compass.com/building/c-gab-douglas-sec-coral-gables-fl/757308186771136541/ | reviewed 2026-09-03</x:v>
      </x:c>
    </x:row>
    <x:row r="20" ht="70" customHeight="1">
      <x:c r="A20" s="75" t="str">
        <x:v>NY-001</x:v>
      </x:c>
      <x:c r="B20" s="75" t="str">
        <x:v>Active Sale / 73</x:v>
      </x:c>
      <x:c r="C20" s="75" t="str">
        <x:v>30-unit multifamily portfolio, NYC</x:v>
      </x:c>
      <x:c r="D20" s="75" t="str">
        <x:v>Need component-building regulatory checks and current pricing/mandate.</x:v>
      </x:c>
      <x:c r="E20" s="75" t="str">
        <x:v>Regulatory status and current process cannot be inferred from prior discovery.</x:v>
      </x:c>
      <x:c r="F20" s="75" t="str">
        <x:v>Obtain current mandate, component-building regulatory checks, and current pricing.</x:v>
      </x:c>
      <x:c r="G20" s="75" t="str">
        <x:v>Prior public listing; reviewed 2026-09-03</x:v>
      </x:c>
    </x:row>
    <x:row r="21" ht="70" customHeight="1">
      <x:c r="A21" s="75" t="str">
        <x:v>LA-009</x:v>
      </x:c>
      <x:c r="B21" s="75" t="str">
        <x:v>Active Sale / 72</x:v>
      </x:c>
      <x:c r="C21" s="75" t="str">
        <x:v>1400 Venice Blvd., Los Angeles — $12.95M / 31 units</x:v>
      </x:c>
      <x:c r="D21" s="75" t="str">
        <x:v>Current offering still lacks a recorded dated exclusive / MLS entry.</x:v>
      </x:c>
      <x:c r="E21" s="75" t="str">
        <x:v>Mandatory listing-date and availability gate is not cleared.</x:v>
      </x:c>
      <x:c r="F21" s="75" t="str">
        <x:v>Obtain dated exclusive or MLS, current availability, and OM.</x:v>
      </x:c>
      <x:c r="G21" s="75" t="str">
        <x:v>Prior public listing; reviewed 2026-09-03</x:v>
      </x:c>
    </x:row>
    <x:row r="22" ht="70" customHeight="1">
      <x:c r="A22" s="75" t="str">
        <x:v>LA-003</x:v>
      </x:c>
      <x:c r="B22" s="75" t="str">
        <x:v>Active Sale / 72</x:v>
      </x:c>
      <x:c r="C22" s="75" t="str">
        <x:v>Nabi Apartments, Los Angeles</x:v>
      </x:c>
      <x:c r="D22" s="75" t="str">
        <x:v>Offering source lacks mandatory listing date and current mandate confirmation.</x:v>
      </x:c>
      <x:c r="E22" s="75" t="str">
        <x:v>Date and current process cannot be inferred.</x:v>
      </x:c>
      <x:c r="F22" s="75" t="str">
        <x:v>Obtain current mandate, dated listing, covenant status, and T-12.</x:v>
      </x:c>
      <x:c r="G22" s="75" t="str">
        <x:v>Prior public listing; reviewed 2026-09-03</x:v>
      </x:c>
    </x:row>
    <x:row r="23" ht="70" customHeight="1">
      <x:c r="A23" s="75" t="str">
        <x:v>LA-008</x:v>
      </x:c>
      <x:c r="B23" s="75" t="str">
        <x:v>Active Sale / 71</x:v>
      </x:c>
      <x:c r="C23" s="75" t="str">
        <x:v>The Cooper Hollywood — $18.195M / 75 units</x:v>
      </x:c>
      <x:c r="D23" s="75" t="str">
        <x:v>Current listing found; RSO status remains unverified.</x:v>
      </x:c>
      <x:c r="E23" s="75" t="str">
        <x:v>Regulatory uncertainty prevents primary-queue promotion.</x:v>
      </x:c>
      <x:c r="F23" s="75" t="str">
        <x:v>Obtain HCIDLA RSO determination and OM rent-regulation disclosure.</x:v>
      </x:c>
      <x:c r="G23" s="75" t="str">
        <x:v>Prior direct listing; reviewed 2026-09-03</x:v>
      </x:c>
    </x:row>
    <x:row r="24" ht="70" customHeight="1">
      <x:c r="A24" s="75" t="str">
        <x:v>FL-006</x:v>
      </x:c>
      <x:c r="B24" s="75" t="str">
        <x:v>Capital Event / 71</x:v>
      </x:c>
      <x:c r="C24" s="75" t="str">
        <x:v>The Genesis Clearwater — 372 units</x:v>
      </x:c>
      <x:c r="D24" s="75" t="str">
        <x:v>Aug. 11 reporting identifies foreclosure without verified complaint, balance, lender/borrower linkage, or restrictions.</x:v>
      </x:c>
      <x:c r="E24" s="75" t="str">
        <x:v>Tier 2 evidence supports monitoring only.</x:v>
      </x:c>
      <x:c r="F24" s="75" t="str">
        <x:v>Pull Pinellas complaint, mortgage/assignment, balance, lender/borrower linkage, restriction evidence, and current deal contact.</x:v>
      </x:c>
      <x:c r="G24" s="75" t="str">
        <x:v>https://www.bizjournals.com/tampabay/news/2026/08/11/genesis-clearwater-apartment-foreclosure.html | 2026-08-11</x:v>
      </x:c>
    </x:row>
    <x:row r="25" ht="70" customHeight="1">
      <x:c r="A25" s="75" t="str">
        <x:v>FL-007</x:v>
      </x:c>
      <x:c r="B25" s="75" t="str">
        <x:v>Active Sale / 70</x:v>
      </x:c>
      <x:c r="C25" s="75" t="str">
        <x:v>650 SW 1st St., Miami — no explicit total ask</x:v>
      </x:c>
      <x:c r="D25" s="75" t="str">
        <x:v>Tier 1 listing is available and states 21 residential units plus one 450-SF retail suite; it publishes $519,048 per residential unit but no total ask.</x:v>
      </x:c>
      <x:c r="E25" s="75" t="str">
        <x:v>Implied value is not an explicit $10M+ asking-price gate; the small retail suite and absence of named sale contact add risk.</x:v>
      </x:c>
      <x:c r="F25" s="75" t="str">
        <x:v>Obtain signed mandate / explicit total ask, rent roll, retail-income share, restriction confirmation, and named broker contact.</x:v>
      </x:c>
      <x:c r="G25" s="75" t="str">
        <x:v>https://www.loopnet.com/Listing/650-SW-1st-St-Miami-FL/41764910/ | listed 2026-08-15; reviewed 2026-09-03</x:v>
      </x:c>
    </x:row>
    <x:row r="26" ht="70" customHeight="1">
      <x:c r="A26" s="75" t="str">
        <x:v>FL-005</x:v>
      </x:c>
      <x:c r="B26" s="75" t="str">
        <x:v>Capital Event / 69</x:v>
      </x:c>
      <x:c r="C26" s="75" t="str">
        <x:v>The Wave Apartments, Tampa — $26M mortgage</x:v>
      </x:c>
      <x:c r="D26" s="75" t="str">
        <x:v>Tier 2 July reporting describes a mortgage default; primary foreclosure record is not in file.</x:v>
      </x:c>
      <x:c r="E26" s="75" t="str">
        <x:v>Lender/borrower linkage, balance, and restriction status remain unverified.</x:v>
      </x:c>
      <x:c r="F26" s="75" t="str">
        <x:v>Pull Hillsborough complaint, mortgage/assignment, lender/borrower linkage, and restriction evidence.</x:v>
      </x:c>
      <x:c r="G26" s="75" t="str">
        <x:v>Prior public reporting; reviewed 2026-09-03</x:v>
      </x:c>
    </x:row>
    <x:row r="27" ht="70" customHeight="1">
      <x:c r="A27" s="75" t="str">
        <x:v>FL-008</x:v>
      </x:c>
      <x:c r="B27" s="75" t="str">
        <x:v>Active Sale / 68</x:v>
      </x:c>
      <x:c r="C27" s="75" t="str">
        <x:v>300 Majorca Ave., Coral Gables — $12.75M / 17 apartments</x:v>
      </x:c>
      <x:c r="D27" s="75" t="str">
        <x:v>Public broker listing identifies a 17-unit rental building, but visible record has no current market date; originally built as condos.</x:v>
      </x:c>
      <x:c r="E27" s="75" t="str">
        <x:v>Mandatory listing-date and rental/covenant gates remain unresolved.</x:v>
      </x:c>
      <x:c r="F27" s="75" t="str">
        <x:v>Obtain current Marcus &amp; Millichap mandate, listing date, rental-vs-condo status, and rent-regulation/covenant confirmation.</x:v>
      </x:c>
      <x:c r="G27" s="75" t="str">
        <x:v>https://www.showcase.com/300-majorca-ave-coral-gables-fl-33134/31157564/ | reviewed 2026-09-03</x:v>
      </x:c>
    </x:row>
    <x:row r="29">
      <x:c r="A29" s="181" t="str">
        <x:v>Exclusions, controls, and coverage gaps</x:v>
      </x:c>
      <x:c r="B29" s="181"/>
      <x:c r="C29" s="181"/>
      <x:c r="D29" s="181"/>
      <x:c r="E29" s="181"/>
      <x:c r="F29" s="181"/>
      <x:c r="G29" s="181"/>
      <x:c r="H29" s="181"/>
      <x:c r="I29" s="181"/>
      <x:c r="J29" s="181"/>
      <x:c r="K29" s="181"/>
      <x:c r="L29" s="181"/>
      <x:c r="M29" s="181"/>
      <x:c r="N29" s="181"/>
      <x:c r="O29" s="181"/>
      <x:c r="P29" s="181"/>
      <x:c r="Q29" s="181"/>
      <x:c r="R29" s="181"/>
      <x:c r="S29" s="181"/>
      <x:c r="T29" s="181"/>
      <x:c r="U29" s="181"/>
    </x:row>
    <x:row r="30">
      <x:c r="A30" s="183" t="str">
        <x:v>Item</x:v>
      </x:c>
      <x:c r="B30" s="183" t="str">
        <x:v>Classification / reason</x:v>
      </x:c>
      <x:c r="C30" s="183" t="str">
        <x:v>Evidence and action</x:v>
      </x:c>
      <x:c r="D30" s="183"/>
      <x:c r="E30" s="183"/>
      <x:c r="F30" s="183"/>
      <x:c r="G30" s="183"/>
      <x:c r="H30" s="183"/>
      <x:c r="I30" s="183"/>
      <x:c r="J30" s="183"/>
      <x:c r="K30" s="183"/>
      <x:c r="L30" s="183"/>
      <x:c r="M30" s="183"/>
      <x:c r="N30" s="183"/>
      <x:c r="O30" s="183"/>
      <x:c r="P30" s="183"/>
      <x:c r="Q30" s="183"/>
      <x:c r="R30" s="183"/>
      <x:c r="S30" s="183"/>
      <x:c r="T30" s="183"/>
      <x:c r="U30" s="183"/>
    </x:row>
    <x:row r="31" ht="62" customHeight="1">
      <x:c r="A31" s="75" t="str">
        <x:v>1020 SW 2nd St., Miami</x:v>
      </x:c>
      <x:c r="B31" s="75" t="str">
        <x:v>Excluded — below $10M gate</x:v>
      </x:c>
      <x:c r="C31" s="75" t="str">
        <x:v>Current Tier 1 listing identifies 20 apartments and $325,000 per unit (about $6.5M implied); it is below the mandate threshold. https://www.loopnet.com/Listing/1020-SW-2nd-St-Miami-FL/41479349/</x:v>
      </x:c>
      <x:c r="D31" s="75"/>
      <x:c r="E31" s="75"/>
      <x:c r="F31" s="75"/>
      <x:c r="G31" s="75"/>
      <x:c r="H31" s="75"/>
      <x:c r="I31" s="75"/>
      <x:c r="J31" s="75"/>
      <x:c r="K31" s="75"/>
      <x:c r="L31" s="75"/>
      <x:c r="M31" s="75"/>
      <x:c r="N31" s="75"/>
      <x:c r="O31" s="75"/>
      <x:c r="P31" s="75"/>
      <x:c r="Q31" s="75"/>
      <x:c r="R31" s="75"/>
      <x:c r="S31" s="75"/>
      <x:c r="T31" s="75"/>
      <x:c r="U31" s="75"/>
    </x:row>
    <x:row r="32" ht="62" customHeight="1">
      <x:c r="A32" s="75" t="str">
        <x:v>PHI-006 — 2328–2344 N. 2nd St., Philadelphia</x:v>
      </x:c>
      <x:c r="B32" s="75" t="str">
        <x:v>Excluded — materially mixed asset / adjacent development parcels</x:v>
      </x:c>
      <x:c r="C32" s="75" t="str">
        <x:v>Current direct listing confirms 33 apartments, but expressly includes 3,750 SF of ground-floor retail across two suites plus four adjacent parcels conditionally approved for townhomes. It does not fit the primary conventional-rental-only queue without specific authorization. https://www.loopnet.com/Listing/2328-2344-N-2nd-St-Philadelphia-PA/41009347/</x:v>
      </x:c>
      <x:c r="D32" s="75"/>
      <x:c r="E32" s="75"/>
      <x:c r="F32" s="75"/>
      <x:c r="G32" s="75"/>
      <x:c r="H32" s="75"/>
      <x:c r="I32" s="75"/>
      <x:c r="J32" s="75"/>
      <x:c r="K32" s="75"/>
      <x:c r="L32" s="75"/>
      <x:c r="M32" s="75"/>
      <x:c r="N32" s="75"/>
      <x:c r="O32" s="75"/>
      <x:c r="P32" s="75"/>
      <x:c r="Q32" s="75"/>
      <x:c r="R32" s="75"/>
      <x:c r="S32" s="75"/>
      <x:c r="T32" s="75"/>
      <x:c r="U32" s="75"/>
    </x:row>
    <x:row r="33" ht="62" customHeight="1">
      <x:c r="A33" s="75" t="str">
        <x:v>2629 NW 17th Ave., Miami</x:v>
      </x:c>
      <x:c r="B33" s="75" t="str">
        <x:v>Excluded — development-first / workforce-housing strategy and stale date</x:v>
      </x:c>
      <x:c r="C33" s="75" t="str">
        <x:v>Current Tier 1 listing says $10.0M / 34 apartments but expressly markets covered-land, high-density, Live Local/workforce-housing potential. https://www.loopnet.com/Listing/2629-NW-17th-Ave-Miami-FL/33827457/</x:v>
      </x:c>
      <x:c r="D33" s="75"/>
      <x:c r="E33" s="75"/>
      <x:c r="F33" s="75"/>
      <x:c r="G33" s="75"/>
      <x:c r="H33" s="75"/>
      <x:c r="I33" s="75"/>
      <x:c r="J33" s="75"/>
      <x:c r="K33" s="75"/>
      <x:c r="L33" s="75"/>
      <x:c r="M33" s="75"/>
      <x:c r="N33" s="75"/>
      <x:c r="O33" s="75"/>
      <x:c r="P33" s="75"/>
      <x:c r="Q33" s="75"/>
      <x:c r="R33" s="75"/>
      <x:c r="S33" s="75"/>
      <x:c r="T33" s="75"/>
      <x:c r="U33" s="75"/>
    </x:row>
    <x:row r="34" ht="62" customHeight="1">
      <x:c r="A34" s="75" t="str">
        <x:v>The Peake, Centennial, Metropolitan Building — Los Angeles</x:v>
      </x:c>
      <x:c r="B34" s="75" t="str">
        <x:v>Excluded — known or unresolved affordable / RSO restrictions</x:v>
      </x:c>
      <x:c r="C34" s="75" t="str">
        <x:v>Retain outside primary unrestricted queue unless the mandate changes and primary regulatory evidence clears status.</x:v>
      </x:c>
      <x:c r="D34" s="75"/>
      <x:c r="E34" s="75"/>
      <x:c r="F34" s="75"/>
      <x:c r="G34" s="75"/>
      <x:c r="H34" s="75"/>
      <x:c r="I34" s="75"/>
      <x:c r="J34" s="75"/>
      <x:c r="K34" s="75"/>
      <x:c r="L34" s="75"/>
      <x:c r="M34" s="75"/>
      <x:c r="N34" s="75"/>
      <x:c r="O34" s="75"/>
      <x:c r="P34" s="75"/>
      <x:c r="Q34" s="75"/>
      <x:c r="R34" s="75"/>
      <x:c r="S34" s="75"/>
      <x:c r="T34" s="75"/>
      <x:c r="U34" s="75"/>
    </x:row>
    <x:row r="35" ht="62" customHeight="1">
      <x:c r="A35" s="75" t="str">
        <x:v>Sunshine and 2629 NW 17th — Miami</x:v>
      </x:c>
      <x:c r="B35" s="75" t="str">
        <x:v>Excluded — development / materially mixed use</x:v>
      </x:c>
      <x:c r="C35" s="75" t="str">
        <x:v>Not conventional rental-multifamily dominant under the mandate.</x:v>
      </x:c>
      <x:c r="D35" s="75"/>
      <x:c r="E35" s="75"/>
      <x:c r="F35" s="75"/>
      <x:c r="G35" s="75"/>
      <x:c r="H35" s="75"/>
      <x:c r="I35" s="75"/>
      <x:c r="J35" s="75"/>
      <x:c r="K35" s="75"/>
      <x:c r="L35" s="75"/>
      <x:c r="M35" s="75"/>
      <x:c r="N35" s="75"/>
      <x:c r="O35" s="75"/>
      <x:c r="P35" s="75"/>
      <x:c r="Q35" s="75"/>
      <x:c r="R35" s="75"/>
      <x:c r="S35" s="75"/>
      <x:c r="T35" s="75"/>
      <x:c r="U35" s="75"/>
    </x:row>
    <x:row r="36" ht="62" customHeight="1">
      <x:c r="A36" s="75" t="str">
        <x:v>Allapattah 23 — Miami</x:v>
      </x:c>
      <x:c r="B36" s="75" t="str">
        <x:v>Excluded — sub-$10M and product mismatch</x:v>
      </x:c>
      <x:c r="C36" s="75" t="str">
        <x:v>Current record is $9.5M and identifies a Multifamily Dormitory subtype.</x:v>
      </x:c>
      <x:c r="D36" s="75"/>
      <x:c r="E36" s="75"/>
      <x:c r="F36" s="75"/>
      <x:c r="G36" s="75"/>
      <x:c r="H36" s="75"/>
      <x:c r="I36" s="75"/>
      <x:c r="J36" s="75"/>
      <x:c r="K36" s="75"/>
      <x:c r="L36" s="75"/>
      <x:c r="M36" s="75"/>
      <x:c r="N36" s="75"/>
      <x:c r="O36" s="75"/>
      <x:c r="P36" s="75"/>
      <x:c r="Q36" s="75"/>
      <x:c r="R36" s="75"/>
      <x:c r="S36" s="75"/>
      <x:c r="T36" s="75"/>
      <x:c r="U36" s="75"/>
    </x:row>
    <x:row r="37" ht="62" customHeight="1">
      <x:c r="A37" s="75" t="str">
        <x:v>Prior Philadelphia student/rent-by-bed candidates</x:v>
      </x:c>
      <x:c r="B37" s="75" t="str">
        <x:v>Excluded — product mismatch</x:v>
      </x:c>
      <x:c r="C37" s="75" t="str">
        <x:v>Do not promote without a conventional lease-structure confirmation.</x:v>
      </x:c>
      <x:c r="D37" s="75"/>
      <x:c r="E37" s="75"/>
      <x:c r="F37" s="75"/>
      <x:c r="G37" s="75"/>
      <x:c r="H37" s="75"/>
      <x:c r="I37" s="75"/>
      <x:c r="J37" s="75"/>
      <x:c r="K37" s="75"/>
      <x:c r="L37" s="75"/>
      <x:c r="M37" s="75"/>
      <x:c r="N37" s="75"/>
      <x:c r="O37" s="75"/>
      <x:c r="P37" s="75"/>
      <x:c r="Q37" s="75"/>
      <x:c r="R37" s="75"/>
      <x:c r="S37" s="75"/>
      <x:c r="T37" s="75"/>
      <x:c r="U37" s="75"/>
    </x:row>
    <x:row r="38" ht="62" customHeight="1">
      <x:c r="A38" s="75" t="str">
        <x:v>Kenmore East — Chicago</x:v>
      </x:c>
      <x:c r="B38" s="75" t="str">
        <x:v>Excluded — current availability unverified</x:v>
      </x:c>
      <x:c r="C38" s="75" t="str">
        <x:v>Direct listing is no longer advertised; require renewed current marketing evidence.</x:v>
      </x:c>
      <x:c r="D38" s="75"/>
      <x:c r="E38" s="75"/>
      <x:c r="F38" s="75"/>
      <x:c r="G38" s="75"/>
      <x:c r="H38" s="75"/>
      <x:c r="I38" s="75"/>
      <x:c r="J38" s="75"/>
      <x:c r="K38" s="75"/>
      <x:c r="L38" s="75"/>
      <x:c r="M38" s="75"/>
      <x:c r="N38" s="75"/>
      <x:c r="O38" s="75"/>
      <x:c r="P38" s="75"/>
      <x:c r="Q38" s="75"/>
      <x:c r="R38" s="75"/>
      <x:c r="S38" s="75"/>
      <x:c r="T38" s="75"/>
      <x:c r="U38" s="75"/>
    </x:row>
    <x:row r="39" ht="62" customHeight="1">
      <x:c r="A39" s="75" t="str">
        <x:v>Coverage limitation</x:v>
      </x:c>
      <x:c r="B39" s="75" t="str">
        <x:v>Gap</x:v>
      </x:c>
      <x:c r="C39" s="75" t="str">
        <x:v>Targeted public-source sweep only, not universal listing coverage of an MSA, Florida, or North Carolina. No newly verified action lead in NYC; named North Carolina MSAs; Orlando, Jacksonville, Fort Myers, Naples, Sarasota, Palm Bay, Lakeland, or Daytona Beach.</x:v>
      </x:c>
      <x:c r="D39" s="75"/>
      <x:c r="E39" s="75"/>
      <x:c r="F39" s="75"/>
      <x:c r="G39" s="75"/>
      <x:c r="H39" s="75"/>
      <x:c r="I39" s="75"/>
      <x:c r="J39" s="75"/>
      <x:c r="K39" s="75"/>
      <x:c r="L39" s="75"/>
      <x:c r="M39" s="75"/>
      <x:c r="N39" s="75"/>
      <x:c r="O39" s="75"/>
      <x:c r="P39" s="75"/>
      <x:c r="Q39" s="75"/>
      <x:c r="R39" s="75"/>
      <x:c r="S39" s="75"/>
      <x:c r="T39" s="75"/>
      <x:c r="U39" s="75"/>
    </x:row>
    <x:row r="40" ht="62" customHeight="1">
      <x:c r="A40" s="75" t="str">
        <x:v>Delivery / outreach control</x:v>
      </x:c>
      <x:c r="B40" s="75" t="str">
        <x:v>Constraint</x:v>
      </x:c>
      <x:c r="C40" s="75" t="str">
        <x:v>No connected Google Sheets session or authenticated email connector was available. This fallback workbook was produced; historical $20M tabs were not touched. No prospect outreach was sent or implied; named lead IDs require explicit per-run approval.</x:v>
      </x:c>
      <x:c r="D40" s="75"/>
      <x:c r="E40" s="75"/>
      <x:c r="F40" s="75"/>
      <x:c r="G40" s="75"/>
      <x:c r="H40" s="75"/>
      <x:c r="I40" s="75"/>
      <x:c r="J40" s="75"/>
      <x:c r="K40" s="75"/>
      <x:c r="L40" s="75"/>
      <x:c r="M40" s="75"/>
      <x:c r="N40" s="75"/>
      <x:c r="O40" s="75"/>
      <x:c r="P40" s="75"/>
      <x:c r="Q40" s="75"/>
      <x:c r="R40" s="75"/>
      <x:c r="S40" s="75"/>
      <x:c r="T40" s="75"/>
      <x:c r="U40" s="75"/>
    </x:row>
  </x:sheetData>
  <x:mergeCells>
    <x:mergeCell ref="A1:U1"/>
    <x:mergeCell ref="A2:U2"/>
    <x:mergeCell ref="A9:U9"/>
    <x:mergeCell ref="A14:G14"/>
    <x:mergeCell ref="A29:U29"/>
    <x:mergeCell ref="C30:U30"/>
    <x:mergeCell ref="C31:U31"/>
    <x:mergeCell ref="C32:U32"/>
    <x:mergeCell ref="C33:U33"/>
    <x:mergeCell ref="C34:U34"/>
    <x:mergeCell ref="C35:U35"/>
    <x:mergeCell ref="C36:U36"/>
    <x:mergeCell ref="C37:U37"/>
    <x:mergeCell ref="C38:U38"/>
    <x:mergeCell ref="C39:U39"/>
    <x:mergeCell ref="C40:U40"/>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8" hidden="0" customWidth="1"/>
    <x:col min="4" max="4" width="34" hidden="0" customWidth="1"/>
    <x:col min="5" max="5" width="9" hidden="0" customWidth="1"/>
    <x:col min="6" max="6" width="31" hidden="0" customWidth="1"/>
    <x:col min="7" max="7" width="42" hidden="0" customWidth="1"/>
    <x:col min="8" max="8" width="34" hidden="0" customWidth="1"/>
    <x:col min="9" max="9" width="35" hidden="0" customWidth="1"/>
    <x:col min="10" max="10" width="8" hidden="0" customWidth="1"/>
    <x:col min="11" max="11" width="8" hidden="0" customWidth="1"/>
    <x:col min="12" max="12" width="8" hidden="0" customWidth="1"/>
    <x:col min="13" max="13" width="10" hidden="0" customWidth="1"/>
    <x:col min="14" max="14" width="10" hidden="0" customWidth="1"/>
    <x:col min="15" max="15" width="9" hidden="0" customWidth="1"/>
    <x:col min="16" max="16" width="9" hidden="0" customWidth="1"/>
    <x:col min="17" max="17" width="43" hidden="0" customWidth="1"/>
    <x:col min="18" max="18" width="32" hidden="0" customWidth="1"/>
    <x:col min="19" max="19" width="34" hidden="0" customWidth="1"/>
  </x:cols>
  <x:sheetData>
    <x:row r="1" ht="30" customHeight="1">
      <x:c r="A1" s="188" t="str">
        <x:v>Light Tower Group — Daily $10M+ Multifamily Sale &amp; Capital Opportunity Engine</x:v>
      </x:c>
      <x:c r="B1" s="188"/>
      <x:c r="C1" s="188"/>
      <x:c r="D1" s="188"/>
      <x:c r="E1" s="188"/>
      <x:c r="F1" s="188"/>
      <x:c r="G1" s="188"/>
      <x:c r="H1" s="188"/>
      <x:c r="I1" s="188"/>
      <x:c r="J1" s="188"/>
      <x:c r="K1" s="188"/>
      <x:c r="L1" s="188"/>
      <x:c r="M1" s="188"/>
      <x:c r="N1" s="188"/>
      <x:c r="O1" s="188"/>
    </x:row>
    <x:row r="2" ht="22" customHeight="1">
      <x:c r="A2" s="191" t="str">
        <x:v>Run date: September 4, 2026 (America/New_York)  |  Report-only  |  Targeted public-source sweep</x:v>
      </x:c>
      <x:c r="B2" s="191"/>
      <x:c r="C2" s="191"/>
      <x:c r="D2" s="191"/>
      <x:c r="E2" s="191"/>
      <x:c r="F2" s="191"/>
      <x:c r="G2" s="191"/>
      <x:c r="H2" s="191"/>
      <x:c r="I2" s="191"/>
      <x:c r="J2" s="191"/>
      <x:c r="K2" s="191"/>
      <x:c r="L2" s="191"/>
      <x:c r="M2" s="191"/>
      <x:c r="N2" s="191"/>
      <x:c r="O2" s="191"/>
    </x:row>
    <x:row r="4">
      <x:c r="A4" s="194" t="str">
        <x:v>Executive readout</x:v>
      </x:c>
      <x:c r="B4" s="194"/>
      <x:c r="C4" s="194"/>
      <x:c r="D4" s="194"/>
      <x:c r="E4" s="194"/>
      <x:c r="F4" s="194"/>
      <x:c r="G4" s="194"/>
      <x:c r="H4" s="194"/>
      <x:c r="I4" s="194"/>
      <x:c r="J4" s="194"/>
      <x:c r="K4" s="194"/>
      <x:c r="L4" s="194"/>
      <x:c r="M4" s="194"/>
      <x:c r="N4" s="194"/>
      <x:c r="O4" s="194"/>
    </x:row>
    <x:row r="5" ht="30" customHeight="1">
      <x:c r="A5" s="208" t="str">
        <x:v>No new qualified lead cleared every hard gate. Two continuing active-sale leads remain in the action queue. Washington Plaza's Tier 1 record was crawled today; 3675 Dunn Drive remains marked currently available on its public Tier 1 listing (the platform snapshot was crawled last week). No prospect outreach was drafted, queued, scheduled, implied, or sent. Coverage is targeted public-source research in the named MSAs only—never universal MSA, Florida, or North Carolina coverage.</x:v>
      </x:c>
      <x:c r="B5" s="209"/>
      <x:c r="C5" s="209"/>
      <x:c r="D5" s="209"/>
      <x:c r="E5" s="209"/>
      <x:c r="F5" s="209"/>
      <x:c r="G5" s="209"/>
      <x:c r="H5" s="209"/>
      <x:c r="I5" s="209"/>
      <x:c r="J5" s="209"/>
      <x:c r="K5" s="209"/>
      <x:c r="L5" s="209"/>
      <x:c r="M5" s="209"/>
      <x:c r="N5" s="209"/>
      <x:c r="O5" s="210"/>
    </x:row>
    <x:row r="6" ht="30" customHeight="1">
      <x:c r="A6" s="211"/>
      <x:c r="B6" s="212"/>
      <x:c r="C6" s="212"/>
      <x:c r="D6" s="212"/>
      <x:c r="E6" s="212"/>
      <x:c r="F6" s="212"/>
      <x:c r="G6" s="212"/>
      <x:c r="H6" s="212"/>
      <x:c r="I6" s="212"/>
      <x:c r="J6" s="212"/>
      <x:c r="K6" s="212"/>
      <x:c r="L6" s="212"/>
      <x:c r="M6" s="212"/>
      <x:c r="N6" s="212"/>
      <x:c r="O6" s="213"/>
    </x:row>
    <x:row r="8">
      <x:c r="A8" s="215" t="str">
        <x:v>Action queue — 85+ priority and 75–84 qualified only</x:v>
      </x:c>
      <x:c r="B8" s="215"/>
      <x:c r="C8" s="215"/>
      <x:c r="D8" s="215"/>
      <x:c r="E8" s="215"/>
      <x:c r="F8" s="215"/>
      <x:c r="G8" s="215"/>
      <x:c r="H8" s="215"/>
      <x:c r="I8" s="215"/>
      <x:c r="J8" s="215"/>
      <x:c r="K8" s="215"/>
      <x:c r="L8" s="215"/>
      <x:c r="M8" s="215"/>
      <x:c r="N8" s="215"/>
      <x:c r="O8" s="215"/>
    </x:row>
    <x:row r="9" ht="34" customHeight="1">
      <x:c r="A9" s="219" t="str">
        <x:v>Lead ID</x:v>
      </x:c>
      <x:c r="B9" s="219" t="str">
        <x:v>Classification</x:v>
      </x:c>
      <x:c r="C9" s="219" t="str">
        <x:v>$10M Gate</x:v>
      </x:c>
      <x:c r="D9" s="219" t="str">
        <x:v>Asset / Address / MSA</x:v>
      </x:c>
      <x:c r="E9" s="219" t="str">
        <x:v>Units</x:v>
      </x:c>
      <x:c r="F9" s="219" t="str">
        <x:v>Owner / Sponsor / Lender / Broker</x:v>
      </x:c>
      <x:c r="G9" s="219" t="str">
        <x:v>Observed facts</x:v>
      </x:c>
      <x:c r="H9" s="219" t="str">
        <x:v>Inference</x:v>
      </x:c>
      <x:c r="I9" s="219" t="str">
        <x:v>Counterargument</x:v>
      </x:c>
      <x:c r="J9" s="219" t="str">
        <x:v>Sale</x:v>
      </x:c>
      <x:c r="K9" s="219" t="str">
        <x:v>Capital</x:v>
      </x:c>
      <x:c r="L9" s="219" t="str">
        <x:v>Fit</x:v>
      </x:c>
      <x:c r="M9" s="219" t="str">
        <x:v>Execution</x:v>
      </x:c>
      <x:c r="N9" s="219" t="str">
        <x:v>Evidence</x:v>
      </x:c>
      <x:c r="O9" s="219" t="str">
        <x:v>Contact</x:v>
      </x:c>
      <x:c r="P9" s="219" t="str">
        <x:v>Score</x:v>
      </x:c>
      <x:c r="Q9" s="219" t="str">
        <x:v>Tier / source / date</x:v>
      </x:c>
      <x:c r="R9" s="219" t="str">
        <x:v>Verified public contact</x:v>
      </x:c>
      <x:c r="S9" s="219" t="str">
        <x:v>Light Tower angle</x:v>
      </x:c>
    </x:row>
    <x:row r="10" ht="96" customHeight="1">
      <x:c r="A10" s="222" t="str">
        <x:v>LA-010</x:v>
      </x:c>
      <x:c r="B10" s="222" t="str">
        <x:v>Active Sale</x:v>
      </x:c>
      <x:c r="C10" s="222" t="str">
        <x:v>$15.95M asking</x:v>
      </x:c>
      <x:c r="D10" s="36" t="str">
        <x:v>3675 Dunn Drive, Los Angeles, CA 90034 | Los Angeles MSA</x:v>
      </x:c>
      <x:c r="E10" s="44" t="n">
        <x:v>18</x:v>
      </x:c>
      <x:c r="F10" s="36" t="str">
        <x:v>KW Commercial | Alex Galuz; owner not independently verified</x:v>
      </x:c>
      <x:c r="G10" s="36" t="str">
        <x:v>Tier 1 listing calls the 2019, Class A, 18-unit apartment property currently available; asking $15.95M; listing date 2026-08-03.</x:v>
      </x:c>
      <x:c r="H10" s="36" t="str">
        <x:v>Fresh conventional marketing supports buyer financing, sale advisory, or senior refinance / recap.</x:v>
      </x:c>
      <x:c r="I10" s="36" t="str">
        <x:v>Confirm current seller authority, rent roll / cap-rate assumptions, and any recorded affordability covenant before engagement.</x:v>
      </x:c>
      <x:c r="J10" s="226" t="n">
        <x:v>35</x:v>
      </x:c>
      <x:c r="K10" s="226" t="n">
        <x:v>0</x:v>
      </x:c>
      <x:c r="L10" s="226" t="n">
        <x:v>15</x:v>
      </x:c>
      <x:c r="M10" s="226" t="n">
        <x:v>9</x:v>
      </x:c>
      <x:c r="N10" s="226" t="n">
        <x:v>15</x:v>
      </x:c>
      <x:c r="O10" s="226" t="n">
        <x:v>5</x:v>
      </x:c>
      <x:c r="P10" s="227" t="n">
        <x:f>SUM(J10:O10)</x:f>
        <x:v>79</x:v>
      </x:c>
      <x:c r="Q10" s="36" t="str">
        <x:v>Tier 1 direct listing | observed 2026-09-04 | https://www.loopnet.com/Listing/3675-Dunn-Dr-Los-Angeles-CA/41534752/</x:v>
      </x:c>
      <x:c r="R10" s="36" t="str">
        <x:v>Alex Galuz, KW Commercial | +1 310-466-0888</x:v>
      </x:c>
      <x:c r="S10" s="36" t="str">
        <x:v>Buyer financing; acquisition-sale advisory; senior refinance / recap</x:v>
      </x:c>
    </x:row>
    <x:row r="11" ht="96" customHeight="1">
      <x:c r="A11" s="222" t="str">
        <x:v>CHI-004</x:v>
      </x:c>
      <x:c r="B11" s="222" t="str">
        <x:v>Active Sale</x:v>
      </x:c>
      <x:c r="C11" s="222" t="str">
        <x:v>$12.0M asking</x:v>
      </x:c>
      <x:c r="D11" s="36" t="str">
        <x:v>Washington Plaza, 5501 W Washington Blvd, Chicago, IL 60644 | Chicago MSA</x:v>
      </x:c>
      <x:c r="E11" s="44" t="n">
        <x:v>172</x:v>
      </x:c>
      <x:c r="F11" s="36" t="str">
        <x:v>33 Realty | Brian Mond and George Benitez; owner not independently verified</x:v>
      </x:c>
      <x:c r="G11" s="36" t="str">
        <x:v>Tier 1 listing is currently available; 172 apartments; $12.0M asking; stated 98% occupancy; listing date 2026-07-22.</x:v>
      </x:c>
      <x:c r="H11" s="36" t="str">
        <x:v>Live marketing supports buyer financing, sale advisory, or value-add refinance / recap.</x:v>
      </x:c>
      <x:c r="I11" s="36" t="str">
        <x:v>Confirm subsidy contracts, deferred maintenance, seller authority, and rent-roll quality before engagement.</x:v>
      </x:c>
      <x:c r="J11" s="226" t="n">
        <x:v>35</x:v>
      </x:c>
      <x:c r="K11" s="226" t="n">
        <x:v>0</x:v>
      </x:c>
      <x:c r="L11" s="226" t="n">
        <x:v>14</x:v>
      </x:c>
      <x:c r="M11" s="226" t="n">
        <x:v>9</x:v>
      </x:c>
      <x:c r="N11" s="226" t="n">
        <x:v>15</x:v>
      </x:c>
      <x:c r="O11" s="226" t="n">
        <x:v>5</x:v>
      </x:c>
      <x:c r="P11" s="227" t="n">
        <x:f>SUM(J11:O11)</x:f>
        <x:v>78</x:v>
      </x:c>
      <x:c r="Q11" s="36" t="str">
        <x:v>Tier 1 direct listing | observed 2026-09-04 | https://www.loopnet.com/Listing/5501-W-Washington-Blvd-Chicago-IL/41395207/</x:v>
      </x:c>
      <x:c r="R11" s="36" t="str">
        <x:v>Brian Mond | +1 773-615-2626; George Benitez | +1 239-443-0768</x:v>
      </x:c>
      <x:c r="S11" s="36" t="str">
        <x:v>Buyer financing; acquisition-sale advisory; senior refinance</x:v>
      </x:c>
    </x:row>
    <x:row r="13">
      <x:c r="A13" s="230" t="str">
        <x:v>Watch — 65–74; not actionable until the precise verification step below is completed</x:v>
      </x:c>
      <x:c r="B13" s="230"/>
      <x:c r="C13" s="230"/>
      <x:c r="D13" s="230"/>
      <x:c r="E13" s="230"/>
      <x:c r="F13" s="230"/>
      <x:c r="G13" s="230"/>
      <x:c r="H13" s="230"/>
      <x:c r="I13" s="230"/>
      <x:c r="J13" s="230"/>
      <x:c r="K13" s="230"/>
      <x:c r="L13" s="230"/>
      <x:c r="M13" s="230"/>
      <x:c r="N13" s="230"/>
      <x:c r="O13" s="230"/>
      <x:c r="P13" s="230"/>
      <x:c r="Q13" s="230"/>
      <x:c r="R13" s="230"/>
      <x:c r="S13" s="230"/>
    </x:row>
    <x:row r="14">
      <x:c r="A14" s="235" t="str">
        <x:v>Lead</x:v>
      </x:c>
      <x:c r="B14" s="235" t="str">
        <x:v>Classification</x:v>
      </x:c>
      <x:c r="C14" s="235" t="str">
        <x:v>Score</x:v>
      </x:c>
      <x:c r="D14" s="235" t="str">
        <x:v>Reason held</x:v>
      </x:c>
      <x:c r="E14" s="235" t="str">
        <x:v>Concrete next verification step</x:v>
      </x:c>
    </x:row>
    <x:row r="15" ht="40" customHeight="1">
      <x:c r="A15" s="36" t="str">
        <x:v>CHI-001 — Drexel Terraces</x:v>
      </x:c>
      <x:c r="B15" s="36" t="str">
        <x:v>Capital Event</x:v>
      </x:c>
      <x:c r="C15" s="239" t="n">
        <x:v>74</x:v>
      </x:c>
      <x:c r="D15" s="36" t="str">
        <x:v>Latest corroborated catalyst is stale.</x:v>
      </x:c>
      <x:c r="E15" s="36" t="str">
        <x:v>Pull current Cook County docket / receiver order; verify servicer, borrower, balance, and sale or workout timetable.</x:v>
      </x:c>
    </x:row>
    <x:row r="16" ht="40" customHeight="1">
      <x:c r="A16" s="36" t="str">
        <x:v>CHI-003 — 4520–26 S. Drexel Blvd.</x:v>
      </x:c>
      <x:c r="B16" s="36" t="str">
        <x:v>Capital Event</x:v>
      </x:c>
      <x:c r="C16" s="239" t="n">
        <x:v>74</x:v>
      </x:c>
      <x:c r="D16" s="36" t="str">
        <x:v>Primary foreclosure record remains unverified.</x:v>
      </x:c>
      <x:c r="E16" s="36" t="str">
        <x:v>Obtain Cook County primary docket and receiver order; then verify servicer and sale timetable.</x:v>
      </x:c>
    </x:row>
    <x:row r="17" ht="40" customHeight="1">
      <x:c r="A17" s="36" t="str">
        <x:v>FL-003 — California Club Apartments</x:v>
      </x:c>
      <x:c r="B17" s="36" t="str">
        <x:v>Watch</x:v>
      </x:c>
      <x:c r="C17" s="239" t="n">
        <x:v>74</x:v>
      </x:c>
      <x:c r="D17" s="36" t="str">
        <x:v>Current mandate and restrictions unverified.</x:v>
      </x:c>
      <x:c r="E17" s="36" t="str">
        <x:v>Obtain exclusive mandate, current OM / rent roll, named broker, and restriction confirmation.</x:v>
      </x:c>
    </x:row>
    <x:row r="18" ht="40" customHeight="1">
      <x:c r="A18" s="36" t="str">
        <x:v>FL-001 — Gables Galiano</x:v>
      </x:c>
      <x:c r="B18" s="36" t="str">
        <x:v>Watch</x:v>
      </x:c>
      <x:c r="C18" s="239" t="n">
        <x:v>73</x:v>
      </x:c>
      <x:c r="D18" s="36" t="str">
        <x:v>Extended marketing; mandate freshness uncertain.</x:v>
      </x:c>
      <x:c r="E18" s="36" t="str">
        <x:v>Obtain current broker mandate, seller intent, and price-flexibility confirmation.</x:v>
      </x:c>
    </x:row>
    <x:row r="19" ht="40" customHeight="1">
      <x:c r="A19" s="36" t="str">
        <x:v>NY-001 — 30-Unit MF Portfolio Sale</x:v>
      </x:c>
      <x:c r="B19" s="36" t="str">
        <x:v>Watch</x:v>
      </x:c>
      <x:c r="C19" s="239" t="n">
        <x:v>73</x:v>
      </x:c>
      <x:c r="D19" s="36" t="str">
        <x:v>Portfolio regulatory status and mandate unverified.</x:v>
      </x:c>
      <x:c r="E19" s="36" t="str">
        <x:v>Obtain current mandate, component-building regulatory checks, and current pricing.</x:v>
      </x:c>
    </x:row>
    <x:row r="20" ht="40" customHeight="1">
      <x:c r="A20" s="36" t="str">
        <x:v>LA-009 — 1400 Venice Blvd.</x:v>
      </x:c>
      <x:c r="B20" s="36" t="str">
        <x:v>Watch</x:v>
      </x:c>
      <x:c r="C20" s="239" t="n">
        <x:v>72</x:v>
      </x:c>
      <x:c r="D20" s="36" t="str">
        <x:v>Mandatory dated listing record absent.</x:v>
      </x:c>
      <x:c r="E20" s="36" t="str">
        <x:v>Obtain a dated exclusive / MLS record, current availability, and OM.</x:v>
      </x:c>
    </x:row>
    <x:row r="21" ht="40" customHeight="1">
      <x:c r="A21" s="36" t="str">
        <x:v>LA-003 — Nabi Apartments</x:v>
      </x:c>
      <x:c r="B21" s="36" t="str">
        <x:v>Watch</x:v>
      </x:c>
      <x:c r="C21" s="239" t="n">
        <x:v>72</x:v>
      </x:c>
      <x:c r="D21" s="36" t="str">
        <x:v>Listing date and covenant status unresolved.</x:v>
      </x:c>
      <x:c r="E21" s="36" t="str">
        <x:v>Obtain current mandate, dated listing, covenant status, and T-12.</x:v>
      </x:c>
    </x:row>
    <x:row r="22" ht="40" customHeight="1">
      <x:c r="A22" s="36" t="str">
        <x:v>LA-008 — The Cooper Hollywood</x:v>
      </x:c>
      <x:c r="B22" s="36" t="str">
        <x:v>Watch</x:v>
      </x:c>
      <x:c r="C22" s="239" t="n">
        <x:v>71</x:v>
      </x:c>
      <x:c r="D22" s="36" t="str">
        <x:v>RSO status unresolved.</x:v>
      </x:c>
      <x:c r="E22" s="36" t="str">
        <x:v>Obtain HCIDLA RSO determination and OM rent-regulation disclosure.</x:v>
      </x:c>
    </x:row>
    <x:row r="23" ht="40" customHeight="1">
      <x:c r="A23" s="36" t="str">
        <x:v>FL-006 — The Genesis Clearwater</x:v>
      </x:c>
      <x:c r="B23" s="36" t="str">
        <x:v>Capital Event</x:v>
      </x:c>
      <x:c r="C23" s="239" t="n">
        <x:v>71</x:v>
      </x:c>
      <x:c r="D23" s="36" t="str">
        <x:v>Foreclosure report lacks primary debt / lien evidence.</x:v>
      </x:c>
      <x:c r="E23" s="36" t="str">
        <x:v>Pull Pinellas complaint, mortgage / assignment, balance, lender-borrower linkage, restriction evidence, and current deal contact.</x:v>
      </x:c>
    </x:row>
    <x:row r="24" ht="40" customHeight="1">
      <x:c r="A24" s="36" t="str">
        <x:v>FL-007 — 650 SW 1st St., Miami</x:v>
      </x:c>
      <x:c r="B24" s="36" t="str">
        <x:v>Watch</x:v>
      </x:c>
      <x:c r="C24" s="239" t="n">
        <x:v>70</x:v>
      </x:c>
      <x:c r="D24" s="36" t="str">
        <x:v>Mixed-use / price gate unresolved.</x:v>
      </x:c>
      <x:c r="E24" s="36" t="str">
        <x:v>Obtain signed sale mandate with explicit total ask, rent roll, retail-income share, restriction confirmation, and named broker contact.</x:v>
      </x:c>
    </x:row>
    <x:row r="25" ht="40" customHeight="1">
      <x:c r="A25" s="36" t="str">
        <x:v>FL-005 — The Wave Apartments, Tampa</x:v>
      </x:c>
      <x:c r="B25" s="36" t="str">
        <x:v>Capital Event</x:v>
      </x:c>
      <x:c r="C25" s="239" t="n">
        <x:v>69</x:v>
      </x:c>
      <x:c r="D25" s="36" t="str">
        <x:v>Default reporting lacks primary record.</x:v>
      </x:c>
      <x:c r="E25" s="36" t="str">
        <x:v>Pull Hillsborough complaint, mortgage / assignment, lender-borrower linkage, and restriction evidence.</x:v>
      </x:c>
    </x:row>
    <x:row r="26" ht="40" customHeight="1">
      <x:c r="A26" s="36" t="str">
        <x:v>FL-008 — 300 Majorca Ave., Coral Gables</x:v>
      </x:c>
      <x:c r="B26" s="36" t="str">
        <x:v>Watch</x:v>
      </x:c>
      <x:c r="C26" s="239" t="n">
        <x:v>68</x:v>
      </x:c>
      <x:c r="D26" s="36" t="str">
        <x:v>Market date, rental status, and covenants unresolved.</x:v>
      </x:c>
      <x:c r="E26" s="36" t="str">
        <x:v>Obtain current mandate, listing date, rental-versus-condo status, and covenant confirmation.</x:v>
      </x:c>
    </x:row>
    <x:row r="28">
      <x:c r="A28" s="242" t="str">
        <x:v>Exclusions and coverage gaps</x:v>
      </x:c>
      <x:c r="B28" s="242"/>
      <x:c r="C28" s="242"/>
      <x:c r="D28" s="242"/>
      <x:c r="E28" s="242"/>
      <x:c r="F28" s="242"/>
      <x:c r="G28" s="242"/>
      <x:c r="H28" s="242"/>
      <x:c r="I28" s="242"/>
      <x:c r="J28" s="242"/>
      <x:c r="K28" s="242"/>
      <x:c r="L28" s="242"/>
      <x:c r="M28" s="242"/>
      <x:c r="N28" s="242"/>
      <x:c r="O28" s="242"/>
      <x:c r="P28" s="242"/>
      <x:c r="Q28" s="242"/>
      <x:c r="R28" s="242"/>
      <x:c r="S28" s="242"/>
    </x:row>
    <x:row r="29">
      <x:c r="A29" s="247" t="str">
        <x:v>Item</x:v>
      </x:c>
      <x:c r="B29" s="247" t="str">
        <x:v>Classification</x:v>
      </x:c>
      <x:c r="C29" s="247" t="str">
        <x:v>Reason</x:v>
      </x:c>
      <x:c r="D29" s="247" t="str">
        <x:v>Source / coverage note</x:v>
      </x:c>
    </x:row>
    <x:row r="30" ht="54" customHeight="1">
      <x:c r="A30" s="248" t="str">
        <x:v>1020 SW 2nd St., Miami</x:v>
      </x:c>
      <x:c r="B30" s="248" t="str">
        <x:v>Excluded</x:v>
      </x:c>
      <x:c r="C30" s="36" t="str">
        <x:v>20 apartments at $325,000/unit imply about $6.5M—below the $10M gate.</x:v>
      </x:c>
      <x:c r="D30" s="36" t="str">
        <x:v>Tier 1 direct listing | 2026-07-29 market date | https://www.loopnet.com/Listing/1020-SW-2nd-St-Miami-FL/41479349/</x:v>
      </x:c>
    </x:row>
    <x:row r="31" ht="54" customHeight="1">
      <x:c r="A31" s="248" t="str">
        <x:v>PHI-006 — 2328–2344 N. 2nd St.</x:v>
      </x:c>
      <x:c r="B31" s="248" t="str">
        <x:v>Excluded</x:v>
      </x:c>
      <x:c r="C31" s="36" t="str">
        <x:v>33 apartments plus 3,750 SF retail and four townhome-approved parcels: materially mixed / development-inclusive.</x:v>
      </x:c>
      <x:c r="D31" s="36" t="str">
        <x:v>Tier 1 direct listing | https://www.loopnet.com/Listing/2328-2344-N-2nd-St-Philadelphia-PA/41009347/</x:v>
      </x:c>
    </x:row>
    <x:row r="32" ht="54" customHeight="1">
      <x:c r="A32" s="248" t="str">
        <x:v>Retained legacy exclusions</x:v>
      </x:c>
      <x:c r="B32" s="248" t="str">
        <x:v>Excluded</x:v>
      </x:c>
      <x:c r="C32" s="36" t="str">
        <x:v>Development / mixed-use: 2629 NW 17th and Sunshine (Miami); RSO / affordable or un-cleared covenant: The Peake, Centennial, Metropolitan Building; student / rent-by-bed Philadelphia items; stale or no-longer-advertised Kenmore East.</x:v>
      </x:c>
      <x:c r="D32" s="36" t="str">
        <x:v>Retained from prior verified screenings; do not promote without new primary evidence.</x:v>
      </x:c>
    </x:row>
    <x:row r="33" ht="54" customHeight="1">
      <x:c r="A33" s="248" t="str">
        <x:v>Coverage gaps</x:v>
      </x:c>
      <x:c r="B33" s="248" t="str">
        <x:v>Coverage limitation</x:v>
      </x:c>
      <x:c r="C33" s="36" t="str">
        <x:v>No newly verified $10M+ action lead in NYC; named North Carolina MSAs; Orlando, Jacksonville, Fort Myers, Naples, Sarasota, Palm Bay, Lakeland, or Daytona Beach.</x:v>
      </x:c>
      <x:c r="D33" s="36" t="str">
        <x:v>A targeted public-source sweep only; absence from this report is not evidence that an eligible property does not exist.</x:v>
      </x:c>
    </x:row>
    <x:row r="35" ht="28" customHeight="1">
      <x:c r="A35" s="256" t="str">
        <x:v>Controls: No outreach was drafted, queued, scheduled, implied, or sent. Outreach requires the user's explicit approval of named lead IDs for this specific run. Historical $20M tabs were not modified.</x:v>
      </x:c>
      <x:c r="B35" s="257"/>
      <x:c r="C35" s="257"/>
      <x:c r="D35" s="257"/>
      <x:c r="E35" s="257"/>
      <x:c r="F35" s="257"/>
      <x:c r="G35" s="257"/>
      <x:c r="H35" s="257"/>
      <x:c r="I35" s="257"/>
      <x:c r="J35" s="257"/>
      <x:c r="K35" s="257"/>
      <x:c r="L35" s="257"/>
      <x:c r="M35" s="257"/>
      <x:c r="N35" s="257"/>
      <x:c r="O35" s="257"/>
      <x:c r="P35" s="257"/>
      <x:c r="Q35" s="257"/>
      <x:c r="R35" s="257"/>
      <x:c r="S35" s="258"/>
    </x:row>
  </x:sheetData>
  <x:mergeCells>
    <x:mergeCell ref="A1:O1"/>
    <x:mergeCell ref="A2:O2"/>
    <x:mergeCell ref="A4:O4"/>
    <x:mergeCell ref="A5:O6"/>
    <x:mergeCell ref="A8:O8"/>
    <x:mergeCell ref="A13:S13"/>
    <x:mergeCell ref="A28:S28"/>
    <x:mergeCell ref="A35:S35"/>
  </x:mergeCells>
  <x:pageMargins left="0.7" right="0.7" top="0.75" bottom="0.75" header="0.3" footer="0.3"/>
</x:worksheet>
</file>