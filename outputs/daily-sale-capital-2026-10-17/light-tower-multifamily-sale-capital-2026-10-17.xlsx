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7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10.xml" ContentType="application/vnd.openxmlformats-officedocument.spreadsheetml.worksheet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worksheets/sheet11.xml" ContentType="application/vnd.openxmlformats-officedocument.spreadsheetml.worksheet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12.xml" ContentType="application/vnd.openxmlformats-officedocument.spreadsheetml.worksheet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worksheets/sheet13.xml" ContentType="application/vnd.openxmlformats-officedocument.spreadsheetml.worksheet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worksheets/sheet14.xml" ContentType="application/vnd.openxmlformats-officedocument.spreadsheetml.worksheet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worksheets/sheet15.xml" ContentType="application/vnd.openxmlformats-officedocument.spreadsheetml.worksheet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worksheets/sheet16.xml" ContentType="application/vnd.openxmlformats-officedocument.spreadsheetml.worksheet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worksheets/sheet17.xml" ContentType="application/vnd.openxmlformats-officedocument.spreadsheetml.worksheet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bef3edd3f0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e3b066fb1538437b"/>
    <x:sheet xmlns:r="http://schemas.openxmlformats.org/officeDocument/2006/relationships" name="Run 2026-09-07" sheetId="2" r:id="R5a861653b55e4b2f"/>
    <x:sheet xmlns:r="http://schemas.openxmlformats.org/officeDocument/2006/relationships" name="Run 2026-09-08" sheetId="3" r:id="R75c4c9dfbd7c4244"/>
    <x:sheet xmlns:r="http://schemas.openxmlformats.org/officeDocument/2006/relationships" name="Run 2026-09-09" sheetId="4" r:id="R907f861d3e024f71"/>
    <x:sheet xmlns:r="http://schemas.openxmlformats.org/officeDocument/2006/relationships" name="Run 2026-09-10" sheetId="5" r:id="Ra90c6aedb41b4438"/>
    <x:sheet xmlns:r="http://schemas.openxmlformats.org/officeDocument/2006/relationships" name="Run 2026-09-14" sheetId="6" r:id="Rae827da666a14b09"/>
    <x:sheet xmlns:r="http://schemas.openxmlformats.org/officeDocument/2006/relationships" name="Run 2026-09-15" sheetId="7" r:id="Rfcb10f72f6b54969"/>
    <x:sheet xmlns:r="http://schemas.openxmlformats.org/officeDocument/2006/relationships" name="Run 2026-10-07" sheetId="8" r:id="Rbd96886b25d3464b"/>
    <x:sheet xmlns:r="http://schemas.openxmlformats.org/officeDocument/2006/relationships" name="Run 2026-10-08" sheetId="9" r:id="Rb7a0b77223434121"/>
    <x:sheet xmlns:r="http://schemas.openxmlformats.org/officeDocument/2006/relationships" name="Run 2026-10-10" sheetId="10" r:id="R6ddae2229d08476e"/>
    <x:sheet xmlns:r="http://schemas.openxmlformats.org/officeDocument/2006/relationships" name="Run 2026-10-11" sheetId="11" r:id="Rf7843f98ce2c40bd"/>
    <x:sheet xmlns:r="http://schemas.openxmlformats.org/officeDocument/2006/relationships" name="Run 2026-10-12" sheetId="12" r:id="R42e3ed8ef4964f73"/>
    <x:sheet xmlns:r="http://schemas.openxmlformats.org/officeDocument/2006/relationships" name="Run 2026-10-13" sheetId="13" r:id="Rca554dceba9f459f"/>
    <x:sheet xmlns:r="http://schemas.openxmlformats.org/officeDocument/2006/relationships" name="Run 2026-10-14" sheetId="14" r:id="R93d1aeba28ed4544"/>
    <x:sheet xmlns:r="http://schemas.openxmlformats.org/officeDocument/2006/relationships" name="Run 2026-10-15" sheetId="15" r:id="Rfab29bbbd8434338"/>
    <x:sheet xmlns:r="http://schemas.openxmlformats.org/officeDocument/2006/relationships" name="Run 2026-10-16" sheetId="16" r:id="R0871417546f04d8f"/>
    <x:sheet xmlns:r="http://schemas.openxmlformats.org/officeDocument/2006/relationships" name="Run 2026-10-17" sheetId="17" r:id="Ref3ecff5fba8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9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3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  <x:xf numFmtId="0" fontId="0" fillId="32" borderId="0" xfId="0" applyNumberFormat="1" applyFont="1" applyFill="1" applyBorder="1"/>
    <x:xf numFmtId="0" fontId="8" fillId="32" borderId="0" xfId="0" applyNumberFormat="1" applyFont="1" applyFill="1" applyBorder="1"/>
    <x:xf numFmtId="0" fontId="0" fillId="33" borderId="0" xfId="0" applyNumberFormat="1" applyFont="1" applyFill="1" applyBorder="1"/>
    <x:xf numFmtId="0" fontId="9" fillId="33" borderId="0" xfId="0" applyNumberFormat="1" applyFont="1" applyFill="1" applyBorder="1"/>
    <x:xf numFmtId="0" fontId="0" fillId="34" borderId="0" xfId="0" applyNumberFormat="1" applyFont="1" applyFill="1" applyBorder="1"/>
    <x:xf numFmtId="0" fontId="10" fillId="34" borderId="0" xfId="0" applyNumberFormat="1" applyFont="1" applyFill="1" applyBorder="1"/>
    <x:xf numFmtId="0" fontId="0" fillId="35" borderId="0" xfId="0" applyNumberFormat="1" applyFont="1" applyFill="1" applyBorder="1"/>
    <x:xf numFmtId="0" fontId="10" fillId="35" borderId="0" xfId="0" applyNumberFormat="1" applyFont="1" applyFill="1" applyBorder="1"/>
    <x:xf numFmtId="0" fontId="0" fillId="36" borderId="0" xfId="0" applyNumberFormat="1" applyFont="1" applyFill="1" applyBorder="1"/>
    <x:xf numFmtId="0" fontId="11" fillId="36" borderId="0" xfId="0" applyNumberFormat="1" applyFont="1" applyFill="1" applyBorder="1"/>
    <x:xf numFmtId="0" fontId="11" fillId="36" borderId="0" xfId="0" applyNumberFormat="1" applyFont="1" applyFill="1" applyBorder="1" applyAlignment="1">
      <x:alignment wrapText="1"/>
    </x:xf>
    <x:xf numFmtId="0" fontId="11" fillId="36" borderId="0" xfId="0" applyNumberFormat="1" applyFont="1" applyFill="1" applyBorder="1" applyAlignment="1">
      <x:alignment horizontal="center" wrapText="1"/>
    </x:xf>
    <x:xf numFmtId="0" fontId="11" fillId="36" borderId="0" xfId="0" applyNumberFormat="1" applyFont="1" applyFill="1" applyBorder="1" applyAlignment="1">
      <x:alignment horizontal="center" vertical="center" wrapText="1"/>
    </x:xf>
    <x:xf numFmtId="0" fontId="0" fillId="37" borderId="0" xfId="0" applyNumberFormat="1" applyFont="1" applyFill="1" applyBorder="1"/>
    <x:xf numFmtId="0" fontId="8" fillId="37" borderId="0" xfId="0" applyNumberFormat="1" applyFont="1" applyFill="1" applyBorder="1"/>
    <x:xf numFmtId="0" fontId="0" fillId="38" borderId="0" xfId="0" applyNumberFormat="1" applyFont="1" applyFill="1" applyBorder="1"/>
    <x:xf numFmtId="0" fontId="9" fillId="38" borderId="0" xfId="0" applyNumberFormat="1" applyFont="1" applyFill="1" applyBorder="1"/>
    <x:xf numFmtId="0" fontId="0" fillId="39" borderId="0" xfId="0" applyNumberFormat="1" applyFont="1" applyFill="1" applyBorder="1"/>
    <x:xf numFmtId="0" fontId="10" fillId="39" borderId="0" xfId="0" applyNumberFormat="1" applyFont="1" applyFill="1" applyBorder="1"/>
    <x:xf numFmtId="0" fontId="0" fillId="40" borderId="0" xfId="0" applyNumberFormat="1" applyFont="1" applyFill="1" applyBorder="1"/>
    <x:xf numFmtId="0" fontId="10" fillId="40" borderId="0" xfId="0" applyNumberFormat="1" applyFont="1" applyFill="1" applyBorder="1"/>
    <x:xf numFmtId="0" fontId="0" fillId="41" borderId="0" xfId="0" applyNumberFormat="1" applyFont="1" applyFill="1" applyBorder="1"/>
    <x:xf numFmtId="0" fontId="11" fillId="41" borderId="0" xfId="0" applyNumberFormat="1" applyFont="1" applyFill="1" applyBorder="1"/>
    <x:xf numFmtId="0" fontId="11" fillId="41" borderId="0" xfId="0" applyNumberFormat="1" applyFont="1" applyFill="1" applyBorder="1" applyAlignment="1">
      <x:alignment wrapText="1"/>
    </x:xf>
    <x:xf numFmtId="0" fontId="11" fillId="41" borderId="0" xfId="0" applyNumberFormat="1" applyFont="1" applyFill="1" applyBorder="1" applyAlignment="1">
      <x:alignment horizontal="center" wrapText="1"/>
    </x:xf>
    <x:xf numFmtId="0" fontId="11" fillId="41" borderId="0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8" fillId="42" borderId="0" xfId="0" applyNumberFormat="1" applyFont="1" applyFill="1" applyBorder="1"/>
    <x:xf numFmtId="0" fontId="0" fillId="43" borderId="0" xfId="0" applyNumberFormat="1" applyFont="1" applyFill="1" applyBorder="1"/>
    <x:xf numFmtId="0" fontId="9" fillId="43" borderId="0" xfId="0" applyNumberFormat="1" applyFont="1" applyFill="1" applyBorder="1"/>
    <x:xf numFmtId="0" fontId="0" fillId="44" borderId="0" xfId="0" applyNumberFormat="1" applyFont="1" applyFill="1" applyBorder="1"/>
    <x:xf numFmtId="0" fontId="10" fillId="44" borderId="0" xfId="0" applyNumberFormat="1" applyFont="1" applyFill="1" applyBorder="1"/>
    <x:xf numFmtId="0" fontId="0" fillId="45" borderId="0" xfId="0" applyNumberFormat="1" applyFont="1" applyFill="1" applyBorder="1"/>
    <x:xf numFmtId="0" fontId="10" fillId="45" borderId="0" xfId="0" applyNumberFormat="1" applyFont="1" applyFill="1" applyBorder="1"/>
    <x:xf numFmtId="0" fontId="0" fillId="46" borderId="0" xfId="0" applyNumberFormat="1" applyFont="1" applyFill="1" applyBorder="1"/>
    <x:xf numFmtId="0" fontId="11" fillId="46" borderId="0" xfId="0" applyNumberFormat="1" applyFont="1" applyFill="1" applyBorder="1"/>
    <x:xf numFmtId="0" fontId="11" fillId="46" borderId="0" xfId="0" applyNumberFormat="1" applyFont="1" applyFill="1" applyBorder="1" applyAlignment="1">
      <x:alignment wrapText="1"/>
    </x:xf>
    <x:xf numFmtId="0" fontId="11" fillId="46" borderId="0" xfId="0" applyNumberFormat="1" applyFont="1" applyFill="1" applyBorder="1" applyAlignment="1">
      <x:alignment horizontal="center" wrapText="1"/>
    </x:xf>
    <x:xf numFmtId="0" fontId="11" fillId="46" borderId="0" xfId="0" applyNumberFormat="1" applyFont="1" applyFill="1" applyBorder="1" applyAlignment="1">
      <x:alignment horizontal="center" vertical="center" wrapText="1"/>
    </x:xf>
    <x:xf numFmtId="0" fontId="0" fillId="47" borderId="0" xfId="0" applyNumberFormat="1" applyFont="1" applyFill="1" applyBorder="1"/>
    <x:xf numFmtId="0" fontId="8" fillId="47" borderId="0" xfId="0" applyNumberFormat="1" applyFont="1" applyFill="1" applyBorder="1"/>
    <x:xf numFmtId="0" fontId="0" fillId="48" borderId="0" xfId="0" applyNumberFormat="1" applyFont="1" applyFill="1" applyBorder="1"/>
    <x:xf numFmtId="0" fontId="9" fillId="48" borderId="0" xfId="0" applyNumberFormat="1" applyFont="1" applyFill="1" applyBorder="1"/>
    <x:xf numFmtId="0" fontId="0" fillId="49" borderId="0" xfId="0" applyNumberFormat="1" applyFont="1" applyFill="1" applyBorder="1"/>
    <x:xf numFmtId="0" fontId="10" fillId="49" borderId="0" xfId="0" applyNumberFormat="1" applyFont="1" applyFill="1" applyBorder="1"/>
    <x:xf numFmtId="0" fontId="0" fillId="50" borderId="0" xfId="0" applyNumberFormat="1" applyFont="1" applyFill="1" applyBorder="1"/>
    <x:xf numFmtId="0" fontId="10" fillId="50" borderId="0" xfId="0" applyNumberFormat="1" applyFont="1" applyFill="1" applyBorder="1"/>
    <x:xf numFmtId="0" fontId="0" fillId="51" borderId="0" xfId="0" applyNumberFormat="1" applyFont="1" applyFill="1" applyBorder="1"/>
    <x:xf numFmtId="0" fontId="11" fillId="51" borderId="0" xfId="0" applyNumberFormat="1" applyFont="1" applyFill="1" applyBorder="1"/>
    <x:xf numFmtId="0" fontId="11" fillId="51" borderId="0" xfId="0" applyNumberFormat="1" applyFont="1" applyFill="1" applyBorder="1" applyAlignment="1">
      <x:alignment wrapText="1"/>
    </x:xf>
    <x:xf numFmtId="0" fontId="11" fillId="51" borderId="0" xfId="0" applyNumberFormat="1" applyFont="1" applyFill="1" applyBorder="1" applyAlignment="1">
      <x:alignment horizontal="center" wrapText="1"/>
    </x:xf>
    <x:xf numFmtId="0" fontId="11" fillId="51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/>
    <x:xf numFmtId="0" fontId="8" fillId="52" borderId="0" xfId="0" applyNumberFormat="1" applyFont="1" applyFill="1" applyBorder="1"/>
    <x:xf numFmtId="0" fontId="0" fillId="53" borderId="0" xfId="0" applyNumberFormat="1" applyFont="1" applyFill="1" applyBorder="1"/>
    <x:xf numFmtId="0" fontId="9" fillId="53" borderId="0" xfId="0" applyNumberFormat="1" applyFont="1" applyFill="1" applyBorder="1"/>
    <x:xf numFmtId="0" fontId="0" fillId="54" borderId="0" xfId="0" applyNumberFormat="1" applyFont="1" applyFill="1" applyBorder="1"/>
    <x:xf numFmtId="0" fontId="10" fillId="54" borderId="0" xfId="0" applyNumberFormat="1" applyFont="1" applyFill="1" applyBorder="1"/>
    <x:xf numFmtId="0" fontId="0" fillId="55" borderId="0" xfId="0" applyNumberFormat="1" applyFont="1" applyFill="1" applyBorder="1"/>
    <x:xf numFmtId="0" fontId="10" fillId="55" borderId="0" xfId="0" applyNumberFormat="1" applyFont="1" applyFill="1" applyBorder="1"/>
    <x:xf numFmtId="0" fontId="0" fillId="56" borderId="0" xfId="0" applyNumberFormat="1" applyFont="1" applyFill="1" applyBorder="1"/>
    <x:xf numFmtId="0" fontId="11" fillId="56" borderId="0" xfId="0" applyNumberFormat="1" applyFont="1" applyFill="1" applyBorder="1"/>
    <x:xf numFmtId="0" fontId="11" fillId="56" borderId="0" xfId="0" applyNumberFormat="1" applyFont="1" applyFill="1" applyBorder="1" applyAlignment="1">
      <x:alignment wrapText="1"/>
    </x:xf>
    <x:xf numFmtId="0" fontId="11" fillId="56" borderId="0" xfId="0" applyNumberFormat="1" applyFont="1" applyFill="1" applyBorder="1" applyAlignment="1">
      <x:alignment horizontal="center" wrapText="1"/>
    </x:xf>
    <x:xf numFmtId="0" fontId="11" fillId="56" borderId="0" xfId="0" applyNumberFormat="1" applyFont="1" applyFill="1" applyBorder="1" applyAlignment="1">
      <x:alignment horizontal="center" vertical="center" wrapText="1"/>
    </x:xf>
    <x:xf numFmtId="0" fontId="0" fillId="57" borderId="0" xfId="0" applyNumberFormat="1" applyFont="1" applyFill="1" applyBorder="1"/>
    <x:xf numFmtId="0" fontId="8" fillId="57" borderId="0" xfId="0" applyNumberFormat="1" applyFont="1" applyFill="1" applyBorder="1"/>
    <x:xf numFmtId="0" fontId="0" fillId="58" borderId="0" xfId="0" applyNumberFormat="1" applyFont="1" applyFill="1" applyBorder="1"/>
    <x:xf numFmtId="0" fontId="9" fillId="58" borderId="0" xfId="0" applyNumberFormat="1" applyFont="1" applyFill="1" applyBorder="1"/>
    <x:xf numFmtId="0" fontId="0" fillId="59" borderId="0" xfId="0" applyNumberFormat="1" applyFont="1" applyFill="1" applyBorder="1"/>
    <x:xf numFmtId="0" fontId="10" fillId="59" borderId="0" xfId="0" applyNumberFormat="1" applyFont="1" applyFill="1" applyBorder="1"/>
    <x:xf numFmtId="0" fontId="0" fillId="60" borderId="0" xfId="0" applyNumberFormat="1" applyFont="1" applyFill="1" applyBorder="1"/>
    <x:xf numFmtId="0" fontId="10" fillId="60" borderId="0" xfId="0" applyNumberFormat="1" applyFont="1" applyFill="1" applyBorder="1"/>
    <x:xf numFmtId="0" fontId="0" fillId="61" borderId="0" xfId="0" applyNumberFormat="1" applyFont="1" applyFill="1" applyBorder="1"/>
    <x:xf numFmtId="0" fontId="11" fillId="61" borderId="0" xfId="0" applyNumberFormat="1" applyFont="1" applyFill="1" applyBorder="1"/>
    <x:xf numFmtId="0" fontId="11" fillId="61" borderId="0" xfId="0" applyNumberFormat="1" applyFont="1" applyFill="1" applyBorder="1" applyAlignment="1">
      <x:alignment wrapText="1"/>
    </x:xf>
    <x:xf numFmtId="0" fontId="11" fillId="61" borderId="0" xfId="0" applyNumberFormat="1" applyFont="1" applyFill="1" applyBorder="1" applyAlignment="1">
      <x:alignment horizontal="center" wrapText="1"/>
    </x:xf>
    <x:xf numFmtId="0" fontId="11" fillId="61" borderId="0" xfId="0" applyNumberFormat="1" applyFont="1" applyFill="1" applyBorder="1" applyAlignment="1">
      <x:alignment horizontal="center" vertical="center" wrapText="1"/>
    </x:xf>
    <x:xf numFmtId="0" fontId="0" fillId="62" borderId="0" xfId="0" applyNumberFormat="1" applyFont="1" applyFill="1" applyBorder="1"/>
    <x:xf numFmtId="0" fontId="8" fillId="62" borderId="0" xfId="0" applyNumberFormat="1" applyFont="1" applyFill="1" applyBorder="1"/>
    <x:xf numFmtId="0" fontId="0" fillId="63" borderId="0" xfId="0" applyNumberFormat="1" applyFont="1" applyFill="1" applyBorder="1"/>
    <x:xf numFmtId="0" fontId="9" fillId="63" borderId="0" xfId="0" applyNumberFormat="1" applyFont="1" applyFill="1" applyBorder="1"/>
    <x:xf numFmtId="0" fontId="0" fillId="64" borderId="0" xfId="0" applyNumberFormat="1" applyFont="1" applyFill="1" applyBorder="1"/>
    <x:xf numFmtId="0" fontId="10" fillId="64" borderId="0" xfId="0" applyNumberFormat="1" applyFont="1" applyFill="1" applyBorder="1"/>
    <x:xf numFmtId="0" fontId="0" fillId="65" borderId="0" xfId="0" applyNumberFormat="1" applyFont="1" applyFill="1" applyBorder="1"/>
    <x:xf numFmtId="0" fontId="10" fillId="65" borderId="0" xfId="0" applyNumberFormat="1" applyFont="1" applyFill="1" applyBorder="1"/>
    <x:xf numFmtId="0" fontId="0" fillId="66" borderId="0" xfId="0" applyNumberFormat="1" applyFont="1" applyFill="1" applyBorder="1"/>
    <x:xf numFmtId="0" fontId="11" fillId="66" borderId="0" xfId="0" applyNumberFormat="1" applyFont="1" applyFill="1" applyBorder="1"/>
    <x:xf numFmtId="0" fontId="11" fillId="66" borderId="0" xfId="0" applyNumberFormat="1" applyFont="1" applyFill="1" applyBorder="1" applyAlignment="1">
      <x:alignment wrapText="1"/>
    </x:xf>
    <x:xf numFmtId="0" fontId="11" fillId="66" borderId="0" xfId="0" applyNumberFormat="1" applyFont="1" applyFill="1" applyBorder="1" applyAlignment="1">
      <x:alignment horizontal="center" wrapText="1"/>
    </x:xf>
    <x:xf numFmtId="0" fontId="11" fillId="66" borderId="0" xfId="0" applyNumberFormat="1" applyFont="1" applyFill="1" applyBorder="1" applyAlignment="1">
      <x:alignment horizontal="center" vertical="center" wrapText="1"/>
    </x:xf>
    <x:xf numFmtId="0" fontId="0" fillId="67" borderId="0" xfId="0" applyNumberFormat="1" applyFont="1" applyFill="1" applyBorder="1"/>
    <x:xf numFmtId="0" fontId="8" fillId="67" borderId="0" xfId="0" applyNumberFormat="1" applyFont="1" applyFill="1" applyBorder="1"/>
    <x:xf numFmtId="0" fontId="0" fillId="68" borderId="0" xfId="0" applyNumberFormat="1" applyFont="1" applyFill="1" applyBorder="1"/>
    <x:xf numFmtId="0" fontId="9" fillId="68" borderId="0" xfId="0" applyNumberFormat="1" applyFont="1" applyFill="1" applyBorder="1"/>
    <x:xf numFmtId="0" fontId="0" fillId="69" borderId="0" xfId="0" applyNumberFormat="1" applyFont="1" applyFill="1" applyBorder="1"/>
    <x:xf numFmtId="0" fontId="10" fillId="69" borderId="0" xfId="0" applyNumberFormat="1" applyFont="1" applyFill="1" applyBorder="1"/>
    <x:xf numFmtId="0" fontId="0" fillId="70" borderId="0" xfId="0" applyNumberFormat="1" applyFont="1" applyFill="1" applyBorder="1"/>
    <x:xf numFmtId="0" fontId="10" fillId="70" borderId="0" xfId="0" applyNumberFormat="1" applyFont="1" applyFill="1" applyBorder="1"/>
    <x:xf numFmtId="0" fontId="0" fillId="71" borderId="0" xfId="0" applyNumberFormat="1" applyFont="1" applyFill="1" applyBorder="1"/>
    <x:xf numFmtId="0" fontId="11" fillId="71" borderId="0" xfId="0" applyNumberFormat="1" applyFont="1" applyFill="1" applyBorder="1"/>
    <x:xf numFmtId="0" fontId="11" fillId="71" borderId="0" xfId="0" applyNumberFormat="1" applyFont="1" applyFill="1" applyBorder="1" applyAlignment="1">
      <x:alignment wrapText="1"/>
    </x:xf>
    <x:xf numFmtId="0" fontId="11" fillId="71" borderId="0" xfId="0" applyNumberFormat="1" applyFont="1" applyFill="1" applyBorder="1" applyAlignment="1">
      <x:alignment horizontal="center" wrapText="1"/>
    </x:xf>
    <x:xf numFmtId="0" fontId="11" fillId="71" borderId="0" xfId="0" applyNumberFormat="1" applyFont="1" applyFill="1" applyBorder="1" applyAlignment="1">
      <x:alignment horizontal="center" vertical="center" wrapText="1"/>
    </x:xf>
    <x:xf numFmtId="0" fontId="0" fillId="72" borderId="0" xfId="0" applyNumberFormat="1" applyFont="1" applyFill="1" applyBorder="1"/>
    <x:xf numFmtId="0" fontId="8" fillId="72" borderId="0" xfId="0" applyNumberFormat="1" applyFont="1" applyFill="1" applyBorder="1"/>
    <x:xf numFmtId="0" fontId="0" fillId="73" borderId="0" xfId="0" applyNumberFormat="1" applyFont="1" applyFill="1" applyBorder="1"/>
    <x:xf numFmtId="0" fontId="9" fillId="73" borderId="0" xfId="0" applyNumberFormat="1" applyFont="1" applyFill="1" applyBorder="1"/>
    <x:xf numFmtId="0" fontId="0" fillId="74" borderId="0" xfId="0" applyNumberFormat="1" applyFont="1" applyFill="1" applyBorder="1"/>
    <x:xf numFmtId="0" fontId="10" fillId="74" borderId="0" xfId="0" applyNumberFormat="1" applyFont="1" applyFill="1" applyBorder="1"/>
    <x:xf numFmtId="0" fontId="0" fillId="75" borderId="0" xfId="0" applyNumberFormat="1" applyFont="1" applyFill="1" applyBorder="1"/>
    <x:xf numFmtId="0" fontId="10" fillId="75" borderId="0" xfId="0" applyNumberFormat="1" applyFont="1" applyFill="1" applyBorder="1"/>
    <x:xf numFmtId="0" fontId="0" fillId="76" borderId="0" xfId="0" applyNumberFormat="1" applyFont="1" applyFill="1" applyBorder="1"/>
    <x:xf numFmtId="0" fontId="11" fillId="76" borderId="0" xfId="0" applyNumberFormat="1" applyFont="1" applyFill="1" applyBorder="1"/>
    <x:xf numFmtId="0" fontId="11" fillId="76" borderId="0" xfId="0" applyNumberFormat="1" applyFont="1" applyFill="1" applyBorder="1" applyAlignment="1">
      <x:alignment wrapText="1"/>
    </x:xf>
    <x:xf numFmtId="0" fontId="11" fillId="76" borderId="0" xfId="0" applyNumberFormat="1" applyFont="1" applyFill="1" applyBorder="1" applyAlignment="1">
      <x:alignment horizontal="center" wrapText="1"/>
    </x:xf>
    <x:xf numFmtId="0" fontId="11" fillId="76" borderId="0" xfId="0" applyNumberFormat="1" applyFont="1" applyFill="1" applyBorder="1" applyAlignment="1">
      <x:alignment horizontal="center" vertical="center" wrapText="1"/>
    </x:xf>
    <x:xf numFmtId="0" fontId="0" fillId="77" borderId="0" xfId="0" applyNumberFormat="1" applyFont="1" applyFill="1" applyBorder="1"/>
    <x:xf numFmtId="0" fontId="8" fillId="77" borderId="0" xfId="0" applyNumberFormat="1" applyFont="1" applyFill="1" applyBorder="1"/>
    <x:xf numFmtId="0" fontId="0" fillId="78" borderId="0" xfId="0" applyNumberFormat="1" applyFont="1" applyFill="1" applyBorder="1"/>
    <x:xf numFmtId="0" fontId="9" fillId="78" borderId="0" xfId="0" applyNumberFormat="1" applyFont="1" applyFill="1" applyBorder="1"/>
    <x:xf numFmtId="0" fontId="0" fillId="79" borderId="0" xfId="0" applyNumberFormat="1" applyFont="1" applyFill="1" applyBorder="1"/>
    <x:xf numFmtId="0" fontId="10" fillId="79" borderId="0" xfId="0" applyNumberFormat="1" applyFont="1" applyFill="1" applyBorder="1"/>
    <x:xf numFmtId="0" fontId="0" fillId="80" borderId="0" xfId="0" applyNumberFormat="1" applyFont="1" applyFill="1" applyBorder="1"/>
    <x:xf numFmtId="0" fontId="10" fillId="80" borderId="0" xfId="0" applyNumberFormat="1" applyFont="1" applyFill="1" applyBorder="1"/>
    <x:xf numFmtId="0" fontId="0" fillId="81" borderId="0" xfId="0" applyNumberFormat="1" applyFont="1" applyFill="1" applyBorder="1"/>
    <x:xf numFmtId="0" fontId="11" fillId="81" borderId="0" xfId="0" applyNumberFormat="1" applyFont="1" applyFill="1" applyBorder="1"/>
    <x:xf numFmtId="0" fontId="11" fillId="81" borderId="0" xfId="0" applyNumberFormat="1" applyFont="1" applyFill="1" applyBorder="1" applyAlignment="1">
      <x:alignment wrapText="1"/>
    </x:xf>
    <x:xf numFmtId="0" fontId="11" fillId="81" borderId="0" xfId="0" applyNumberFormat="1" applyFont="1" applyFill="1" applyBorder="1" applyAlignment="1">
      <x:alignment horizontal="center" wrapText="1"/>
    </x:xf>
    <x:xf numFmtId="0" fontId="11" fillId="81" borderId="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8" fillId="82" borderId="0" xfId="0" applyNumberFormat="1" applyFont="1" applyFill="1" applyBorder="1"/>
    <x:xf numFmtId="0" fontId="0" fillId="83" borderId="0" xfId="0" applyNumberFormat="1" applyFont="1" applyFill="1" applyBorder="1"/>
    <x:xf numFmtId="0" fontId="9" fillId="83" borderId="0" xfId="0" applyNumberFormat="1" applyFont="1" applyFill="1" applyBorder="1"/>
    <x:xf numFmtId="0" fontId="0" fillId="84" borderId="0" xfId="0" applyNumberFormat="1" applyFont="1" applyFill="1" applyBorder="1"/>
    <x:xf numFmtId="0" fontId="10" fillId="84" borderId="0" xfId="0" applyNumberFormat="1" applyFont="1" applyFill="1" applyBorder="1"/>
    <x:xf numFmtId="0" fontId="0" fillId="85" borderId="0" xfId="0" applyNumberFormat="1" applyFont="1" applyFill="1" applyBorder="1"/>
    <x:xf numFmtId="0" fontId="10" fillId="85" borderId="0" xfId="0" applyNumberFormat="1" applyFont="1" applyFill="1" applyBorder="1"/>
    <x:xf numFmtId="0" fontId="0" fillId="86" borderId="0" xfId="0" applyNumberFormat="1" applyFont="1" applyFill="1" applyBorder="1"/>
    <x:xf numFmtId="0" fontId="11" fillId="86" borderId="0" xfId="0" applyNumberFormat="1" applyFont="1" applyFill="1" applyBorder="1"/>
    <x:xf numFmtId="0" fontId="11" fillId="86" borderId="0" xfId="0" applyNumberFormat="1" applyFont="1" applyFill="1" applyBorder="1" applyAlignment="1">
      <x:alignment wrapText="1"/>
    </x:xf>
    <x:xf numFmtId="0" fontId="11" fillId="86" borderId="0" xfId="0" applyNumberFormat="1" applyFont="1" applyFill="1" applyBorder="1" applyAlignment="1">
      <x:alignment horizontal="center" wrapText="1"/>
    </x:xf>
    <x:xf numFmtId="0" fontId="11" fillId="86" borderId="0" xfId="0" applyNumberFormat="1" applyFont="1" applyFill="1" applyBorder="1" applyAlignment="1">
      <x:alignment horizontal="center" vertical="center" wrapText="1"/>
    </x:xf>
    <x:xf numFmtId="0" fontId="0" fillId="87" borderId="0" xfId="0" applyNumberFormat="1" applyFont="1" applyFill="1" applyBorder="1"/>
    <x:xf numFmtId="0" fontId="8" fillId="87" borderId="0" xfId="0" applyNumberFormat="1" applyFont="1" applyFill="1" applyBorder="1"/>
    <x:xf numFmtId="0" fontId="0" fillId="88" borderId="0" xfId="0" applyNumberFormat="1" applyFont="1" applyFill="1" applyBorder="1"/>
    <x:xf numFmtId="0" fontId="9" fillId="88" borderId="0" xfId="0" applyNumberFormat="1" applyFont="1" applyFill="1" applyBorder="1"/>
    <x:xf numFmtId="0" fontId="0" fillId="89" borderId="0" xfId="0" applyNumberFormat="1" applyFont="1" applyFill="1" applyBorder="1"/>
    <x:xf numFmtId="0" fontId="10" fillId="89" borderId="0" xfId="0" applyNumberFormat="1" applyFont="1" applyFill="1" applyBorder="1"/>
    <x:xf numFmtId="0" fontId="0" fillId="90" borderId="0" xfId="0" applyNumberFormat="1" applyFont="1" applyFill="1" applyBorder="1"/>
    <x:xf numFmtId="0" fontId="10" fillId="90" borderId="0" xfId="0" applyNumberFormat="1" applyFont="1" applyFill="1" applyBorder="1"/>
    <x:xf numFmtId="0" fontId="0" fillId="91" borderId="0" xfId="0" applyNumberFormat="1" applyFont="1" applyFill="1" applyBorder="1"/>
    <x:xf numFmtId="0" fontId="11" fillId="91" borderId="0" xfId="0" applyNumberFormat="1" applyFont="1" applyFill="1" applyBorder="1"/>
    <x:xf numFmtId="0" fontId="11" fillId="91" borderId="0" xfId="0" applyNumberFormat="1" applyFont="1" applyFill="1" applyBorder="1" applyAlignment="1">
      <x:alignment wrapText="1"/>
    </x:xf>
    <x:xf numFmtId="0" fontId="11" fillId="91" borderId="0" xfId="0" applyNumberFormat="1" applyFont="1" applyFill="1" applyBorder="1" applyAlignment="1">
      <x:alignment horizontal="center" wrapText="1"/>
    </x:xf>
    <x:xf numFmtId="0" fontId="11" fillId="9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13847a1ee483a" /><Relationship Type="http://schemas.openxmlformats.org/officeDocument/2006/relationships/theme" Target="/xl/theme/theme1.xml" Id="Rea33e03a4f6c4d78" /><Relationship Type="http://schemas.openxmlformats.org/officeDocument/2006/relationships/sharedStrings" Target="/xl/sharedStrings.xml" Id="R9549e2af9da24885" /><Relationship Type="http://schemas.openxmlformats.org/officeDocument/2006/relationships/worksheet" Target="/xl/worksheets/sheet1.xml" Id="Re3b066fb1538437b" /><Relationship Type="http://schemas.openxmlformats.org/officeDocument/2006/relationships/worksheet" Target="/xl/worksheets/sheet2.xml" Id="R5a861653b55e4b2f" /><Relationship Type="http://schemas.openxmlformats.org/officeDocument/2006/relationships/worksheet" Target="/xl/worksheets/sheet3.xml" Id="R75c4c9dfbd7c4244" /><Relationship Type="http://schemas.openxmlformats.org/officeDocument/2006/relationships/worksheet" Target="/xl/worksheets/sheet4.xml" Id="R907f861d3e024f71" /><Relationship Type="http://schemas.openxmlformats.org/officeDocument/2006/relationships/worksheet" Target="/xl/worksheets/sheet5.xml" Id="Ra90c6aedb41b4438" /><Relationship Type="http://schemas.openxmlformats.org/officeDocument/2006/relationships/worksheet" Target="/xl/worksheets/sheet6.xml" Id="Rae827da666a14b09" /><Relationship Type="http://schemas.openxmlformats.org/officeDocument/2006/relationships/worksheet" Target="/xl/worksheets/sheet7.xml" Id="Rfcb10f72f6b54969" /><Relationship Type="http://schemas.openxmlformats.org/officeDocument/2006/relationships/worksheet" Target="/xl/worksheets/sheet8.xml" Id="Rbd96886b25d3464b" /><Relationship Type="http://schemas.openxmlformats.org/officeDocument/2006/relationships/worksheet" Target="/xl/worksheets/sheet9.xml" Id="Rb7a0b77223434121" /><Relationship Type="http://schemas.openxmlformats.org/officeDocument/2006/relationships/worksheet" Target="/xl/worksheets/sheet10.xml" Id="R6ddae2229d08476e" /><Relationship Type="http://schemas.openxmlformats.org/officeDocument/2006/relationships/worksheet" Target="/xl/worksheets/sheet11.xml" Id="Rf7843f98ce2c40bd" /><Relationship Type="http://schemas.openxmlformats.org/officeDocument/2006/relationships/worksheet" Target="/xl/worksheets/sheet12.xml" Id="R42e3ed8ef4964f73" /><Relationship Type="http://schemas.openxmlformats.org/officeDocument/2006/relationships/worksheet" Target="/xl/worksheets/sheet13.xml" Id="Rca554dceba9f459f" /><Relationship Type="http://schemas.openxmlformats.org/officeDocument/2006/relationships/worksheet" Target="/xl/worksheets/sheet14.xml" Id="R93d1aeba28ed4544" /><Relationship Type="http://schemas.openxmlformats.org/officeDocument/2006/relationships/worksheet" Target="/xl/worksheets/sheet15.xml" Id="Rfab29bbbd8434338" /><Relationship Type="http://schemas.openxmlformats.org/officeDocument/2006/relationships/worksheet" Target="/xl/worksheets/sheet16.xml" Id="R0871417546f04d8f" /><Relationship Type="http://schemas.openxmlformats.org/officeDocument/2006/relationships/worksheet" Target="/xl/worksheets/sheet17.xml" Id="Ref3ecff5fba846d4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3.xml><?xml version="1.0" encoding="utf-8"?>
<x:table xmlns:x="http://schemas.openxmlformats.org/spreadsheetml/2006/main" id="13" name="ActionQueue20260914" displayName="ActionQueue202609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Watch20260914" displayName="Watch20260914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Exclusions20260914" displayName="Exclusions20260914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6.xml><?xml version="1.0" encoding="utf-8"?>
<x:table xmlns:x="http://schemas.openxmlformats.org/spreadsheetml/2006/main" id="16" name="ActionQueue20260915" displayName="ActionQueue20260915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atch20260915" displayName="Watch20260915" ref="A17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8.xml><?xml version="1.0" encoding="utf-8"?>
<x:table xmlns:x="http://schemas.openxmlformats.org/spreadsheetml/2006/main" id="18" name="Exclusions20260915" displayName="Exclusions20260915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9.xml><?xml version="1.0" encoding="utf-8"?>
<x:table xmlns:x="http://schemas.openxmlformats.org/spreadsheetml/2006/main" id="19" name="ActionQueue20261007" displayName="ActionQueue202610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Watch20261007" displayName="Watch20261007" ref="A17:F34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1.xml><?xml version="1.0" encoding="utf-8"?>
<x:table xmlns:x="http://schemas.openxmlformats.org/spreadsheetml/2006/main" id="21" name="Exclusions20261007" displayName="Exclusions20261007" ref="A36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2.xml><?xml version="1.0" encoding="utf-8"?>
<x:table xmlns:x="http://schemas.openxmlformats.org/spreadsheetml/2006/main" id="22" name="ActionQueue20261008" displayName="ActionQueue20261008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Watch20261008" displayName="Watch20261008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4.xml><?xml version="1.0" encoding="utf-8"?>
<x:table xmlns:x="http://schemas.openxmlformats.org/spreadsheetml/2006/main" id="24" name="Exclusions20261008" displayName="Exclusions20261008" ref="A38:C49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5.xml><?xml version="1.0" encoding="utf-8"?>
<x:table xmlns:x="http://schemas.openxmlformats.org/spreadsheetml/2006/main" id="25" name="ActionQueue20261010" displayName="ActionQueue202610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Watch20261010" displayName="Watch20261010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27.xml><?xml version="1.0" encoding="utf-8"?>
<x:table xmlns:x="http://schemas.openxmlformats.org/spreadsheetml/2006/main" id="27" name="Exclusions20261010" displayName="Exclusions20261010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28.xml><?xml version="1.0" encoding="utf-8"?>
<x:table xmlns:x="http://schemas.openxmlformats.org/spreadsheetml/2006/main" id="28" name="ActionQueue20261011" displayName="ActionQueue20261011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Watch20261011" displayName="Watch20261011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0.xml><?xml version="1.0" encoding="utf-8"?>
<x:table xmlns:x="http://schemas.openxmlformats.org/spreadsheetml/2006/main" id="30" name="Exclusions20261011" displayName="Exclusions20261011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1.xml><?xml version="1.0" encoding="utf-8"?>
<x:table xmlns:x="http://schemas.openxmlformats.org/spreadsheetml/2006/main" id="31" name="ActionQueue20261012" displayName="ActionQueue20261012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Watch20261012" displayName="Watch20261012" ref="A18:F35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3.xml><?xml version="1.0" encoding="utf-8"?>
<x:table xmlns:x="http://schemas.openxmlformats.org/spreadsheetml/2006/main" id="33" name="Exclusions20261012" displayName="Exclusions20261012" ref="A38:C50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4.xml><?xml version="1.0" encoding="utf-8"?>
<x:table xmlns:x="http://schemas.openxmlformats.org/spreadsheetml/2006/main" id="34" name="ActionQueue20261013" displayName="ActionQueue20261013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Watch20261013" displayName="Watch20261013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6.xml><?xml version="1.0" encoding="utf-8"?>
<x:table xmlns:x="http://schemas.openxmlformats.org/spreadsheetml/2006/main" id="36" name="Exclusions20261013" displayName="Exclusions20261013" ref="A39:C5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37.xml><?xml version="1.0" encoding="utf-8"?>
<x:table xmlns:x="http://schemas.openxmlformats.org/spreadsheetml/2006/main" id="37" name="ActionQueue20261014" displayName="ActionQueue20261014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Watch20261014" displayName="Watch20261014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9.xml><?xml version="1.0" encoding="utf-8"?>
<x:table xmlns:x="http://schemas.openxmlformats.org/spreadsheetml/2006/main" id="39" name="Exclusions20261014" displayName="Exclusions20261014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0.xml><?xml version="1.0" encoding="utf-8"?>
<x:table xmlns:x="http://schemas.openxmlformats.org/spreadsheetml/2006/main" id="40" name="ActionQueue20261015" displayName="ActionQueue20261015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Watch20261015" displayName="Watch20261015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2.xml><?xml version="1.0" encoding="utf-8"?>
<x:table xmlns:x="http://schemas.openxmlformats.org/spreadsheetml/2006/main" id="42" name="Exclusions20261015" displayName="Exclusions20261015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3.xml><?xml version="1.0" encoding="utf-8"?>
<x:table xmlns:x="http://schemas.openxmlformats.org/spreadsheetml/2006/main" id="43" name="ActionQueue20261016" displayName="ActionQueue20261016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Watch20261016" displayName="Watch20261016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5.xml><?xml version="1.0" encoding="utf-8"?>
<x:table xmlns:x="http://schemas.openxmlformats.org/spreadsheetml/2006/main" id="45" name="Exclusions20261016" displayName="Exclusions20261016" ref="A39:C48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ables/table46.xml><?xml version="1.0" encoding="utf-8"?>
<x:table xmlns:x="http://schemas.openxmlformats.org/spreadsheetml/2006/main" id="46" name="ActionQueue20261017" displayName="ActionQueue20261017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Watch20261017" displayName="Watch20261017" ref="A18:F36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48.xml><?xml version="1.0" encoding="utf-8"?>
<x:table xmlns:x="http://schemas.openxmlformats.org/spreadsheetml/2006/main" id="48" name="Exclusions20261017" displayName="Exclusions20261017" ref="A39:C47" headerRowCount="1" totalsRowCount="0" totalsRowShown="0">
  <x:tableColumns count="3">
    <x:tableColumn id="1" name="Item"/>
    <x:tableColumn id="2" name="Classification"/>
    <x:tableColumn id="3" name="Exclusion / coverage finding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fbbabfe284a4d" /><Relationship Type="http://schemas.openxmlformats.org/officeDocument/2006/relationships/table" Target="/xl/tables/table2.xml" Id="R89f78a733c2344f5" /><Relationship Type="http://schemas.openxmlformats.org/officeDocument/2006/relationships/table" Target="/xl/tables/table3.xml" Id="R36954bc970cb40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bd88f839907845fe" /><Relationship Type="http://schemas.openxmlformats.org/officeDocument/2006/relationships/table" Target="/xl/tables/table5.xml" Id="R9397ac1497fd4a21" /><Relationship Type="http://schemas.openxmlformats.org/officeDocument/2006/relationships/table" Target="/xl/tables/table6.xml" Id="Rc0a51885892541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7bb232b4b43943f1" /><Relationship Type="http://schemas.openxmlformats.org/officeDocument/2006/relationships/table" Target="/xl/tables/table8.xml" Id="R025ffedabf734bf2" /><Relationship Type="http://schemas.openxmlformats.org/officeDocument/2006/relationships/table" Target="/xl/tables/table9.xml" Id="R1c43d8e86bd848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786125ca08744d38" /><Relationship Type="http://schemas.openxmlformats.org/officeDocument/2006/relationships/table" Target="/xl/tables/table11.xml" Id="R51a34fe4a4f74683" /><Relationship Type="http://schemas.openxmlformats.org/officeDocument/2006/relationships/table" Target="/xl/tables/table12.xml" Id="R8f9ba96bb1714c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0ad0c71e35384a12" /><Relationship Type="http://schemas.openxmlformats.org/officeDocument/2006/relationships/table" Target="/xl/tables/table14.xml" Id="R5dfde7842cd74392" /><Relationship Type="http://schemas.openxmlformats.org/officeDocument/2006/relationships/table" Target="/xl/tables/table15.xml" Id="Rf25423b45a0c46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6.xml" Id="R56bd744710534c45" /><Relationship Type="http://schemas.openxmlformats.org/officeDocument/2006/relationships/table" Target="/xl/tables/table17.xml" Id="R02a04515ae6743a9" /><Relationship Type="http://schemas.openxmlformats.org/officeDocument/2006/relationships/table" Target="/xl/tables/table18.xml" Id="R5ad46608949849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9.xml" Id="R4fbd3ed6dd814ab0" /><Relationship Type="http://schemas.openxmlformats.org/officeDocument/2006/relationships/table" Target="/xl/tables/table20.xml" Id="Re51a9cbd95854df0" /><Relationship Type="http://schemas.openxmlformats.org/officeDocument/2006/relationships/table" Target="/xl/tables/table21.xml" Id="R29dfdf92483142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22.xml" Id="Rd611e3a665514096" /><Relationship Type="http://schemas.openxmlformats.org/officeDocument/2006/relationships/table" Target="/xl/tables/table23.xml" Id="R0df6b1d8e57f40fc" /><Relationship Type="http://schemas.openxmlformats.org/officeDocument/2006/relationships/table" Target="/xl/tables/table24.xml" Id="Rc278c70add60484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25.xml" Id="Ra632ab7233664120" /><Relationship Type="http://schemas.openxmlformats.org/officeDocument/2006/relationships/table" Target="/xl/tables/table26.xml" Id="Rd61c7a5a7a334fcc" /><Relationship Type="http://schemas.openxmlformats.org/officeDocument/2006/relationships/table" Target="/xl/tables/table27.xml" Id="R79520ae5d6c4496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8.xml" Id="Rfad497c09f70416f" /><Relationship Type="http://schemas.openxmlformats.org/officeDocument/2006/relationships/table" Target="/xl/tables/table29.xml" Id="R355e29e1914b4695" /><Relationship Type="http://schemas.openxmlformats.org/officeDocument/2006/relationships/table" Target="/xl/tables/table30.xml" Id="Rfa82257f42ce4d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31.xml" Id="R6e35659f46ef496a" /><Relationship Type="http://schemas.openxmlformats.org/officeDocument/2006/relationships/table" Target="/xl/tables/table32.xml" Id="Rd2a352e76b2d40cf" /><Relationship Type="http://schemas.openxmlformats.org/officeDocument/2006/relationships/table" Target="/xl/tables/table33.xml" Id="R9fe3e6f857f846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34.xml" Id="R9d0e9070bbd244d1" /><Relationship Type="http://schemas.openxmlformats.org/officeDocument/2006/relationships/table" Target="/xl/tables/table35.xml" Id="Rb0a8562025cc4f25" /><Relationship Type="http://schemas.openxmlformats.org/officeDocument/2006/relationships/table" Target="/xl/tables/table36.xml" Id="Rd34a6234a6ec49c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37.xml" Id="Rd1ecee8d8400405b" /><Relationship Type="http://schemas.openxmlformats.org/officeDocument/2006/relationships/table" Target="/xl/tables/table38.xml" Id="Rf144256035e149b0" /><Relationship Type="http://schemas.openxmlformats.org/officeDocument/2006/relationships/table" Target="/xl/tables/table39.xml" Id="R55e6479f0f2e4cc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40.xml" Id="R923e498f54a74310" /><Relationship Type="http://schemas.openxmlformats.org/officeDocument/2006/relationships/table" Target="/xl/tables/table41.xml" Id="Ra1f25aa18a1a45e0" /><Relationship Type="http://schemas.openxmlformats.org/officeDocument/2006/relationships/table" Target="/xl/tables/table42.xml" Id="Rdeaf7b96803145e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43.xml" Id="R10a73f3d4e98443a" /><Relationship Type="http://schemas.openxmlformats.org/officeDocument/2006/relationships/table" Target="/xl/tables/table44.xml" Id="R9adef84f32264570" /><Relationship Type="http://schemas.openxmlformats.org/officeDocument/2006/relationships/table" Target="/xl/tables/table45.xml" Id="Rf2e044b834ea45f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46.xml" Id="R052fe7396e354d60" /><Relationship Type="http://schemas.openxmlformats.org/officeDocument/2006/relationships/table" Target="/xl/tables/table47.xml" Id="R995cb7aae27d4ea9" /><Relationship Type="http://schemas.openxmlformats.org/officeDocument/2006/relationships/table" Target="/xl/tables/table48.xml" Id="R79392ef888df48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1aafbbabfe284a4d"/>
    <x:tablePart xmlns:r="http://schemas.openxmlformats.org/officeDocument/2006/relationships" r:id="R89f78a733c2344f5"/>
    <x:tablePart xmlns:r="http://schemas.openxmlformats.org/officeDocument/2006/relationships" r:id="R36954bc970cb40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bd88f839907845fe"/>
    <x:tablePart xmlns:r="http://schemas.openxmlformats.org/officeDocument/2006/relationships" r:id="R9397ac1497fd4a21"/>
    <x:tablePart xmlns:r="http://schemas.openxmlformats.org/officeDocument/2006/relationships" r:id="Rc0a51885892541f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bb232b4b43943f1"/>
    <x:tablePart xmlns:r="http://schemas.openxmlformats.org/officeDocument/2006/relationships" r:id="R025ffedabf734bf2"/>
    <x:tablePart xmlns:r="http://schemas.openxmlformats.org/officeDocument/2006/relationships" r:id="R1c43d8e86bd848d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786125ca08744d38"/>
    <x:tablePart xmlns:r="http://schemas.openxmlformats.org/officeDocument/2006/relationships" r:id="R51a34fe4a4f74683"/>
    <x:tablePart xmlns:r="http://schemas.openxmlformats.org/officeDocument/2006/relationships" r:id="R8f9ba96bb1714cb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14, 2026 | Report-only | Targeted public-source coverage; not universal MSA or statewide coverage</x:v>
      </x:c>
    </x:row>
    <x:row r="4">
      <x:c r="A4" s="147" t="str">
        <x:v>Action queue</x:v>
      </x:c>
      <x:c r="B4" s="149" t="str">
        <x:v>6 leads</x:v>
      </x:c>
      <x:c r="D4" s="147" t="str">
        <x:v>Watch 65–74</x:v>
      </x:c>
      <x:c r="E4" s="149" t="str">
        <x:v>15 leads</x:v>
      </x:c>
    </x:row>
    <x:row r="5">
      <x:c r="A5" s="147" t="str">
        <x:v>Priority 85+</x:v>
      </x:c>
      <x:c r="B5" s="149" t="str">
        <x:v>None</x:v>
      </x:c>
      <x:c r="D5" s="147" t="str">
        <x:v>Excluded</x:v>
      </x:c>
      <x:c r="E5" s="149" t="str">
        <x:v>6 categories</x:v>
      </x:c>
    </x:row>
    <x:row r="6">
      <x:c r="A6" s="147" t="str">
        <x:v>Qualified 75–84</x:v>
      </x:c>
      <x:c r="B6" s="149" t="str">
        <x:v>6</x:v>
      </x:c>
      <x:c r="D6" s="147" t="str">
        <x:v>$10M Gate</x:v>
      </x:c>
      <x:c r="E6" s="149" t="str">
        <x:v>Required</x:v>
      </x:c>
    </x:row>
    <x:row r="7">
      <x:c r="A7" s="147" t="str">
        <x:v>New qualified leads</x:v>
      </x:c>
      <x:c r="B7" s="149" t="str">
        <x:v>0</x:v>
      </x:c>
      <x:c r="D7" s="147" t="str">
        <x:v>Outreach</x:v>
      </x:c>
      <x:c r="E7" s="149" t="str">
        <x:v>Named-lead approval required</x:v>
      </x:c>
    </x:row>
    <x:row r="9" ht="38" customHeight="1">
      <x:c r="A9" s="158" t="str">
        <x:v>Lead ID</x:v>
      </x:c>
      <x:c r="B9" s="158" t="str">
        <x:v>Status</x:v>
      </x:c>
      <x:c r="C9" s="158" t="str">
        <x:v>Classification</x:v>
      </x:c>
      <x:c r="D9" s="158" t="str">
        <x:v>$10M Gate</x:v>
      </x:c>
      <x:c r="E9" s="158" t="str">
        <x:v>Asset / Address</x:v>
      </x:c>
      <x:c r="F9" s="158" t="str">
        <x:v>MSA</x:v>
      </x:c>
      <x:c r="G9" s="158" t="str">
        <x:v>Units</x:v>
      </x:c>
      <x:c r="H9" s="158" t="str">
        <x:v>Owner / Broker</x:v>
      </x:c>
      <x:c r="I9" s="158" t="str">
        <x:v>Observed facts</x:v>
      </x:c>
      <x:c r="J9" s="158" t="str">
        <x:v>Inference</x:v>
      </x:c>
      <x:c r="K9" s="158" t="str">
        <x:v>Counterargument</x:v>
      </x:c>
      <x:c r="L9" s="158" t="str">
        <x:v>Sale process 35</x:v>
      </x:c>
      <x:c r="M9" s="158" t="str">
        <x:v>Capital event 20</x:v>
      </x:c>
      <x:c r="N9" s="158" t="str">
        <x:v>Fit 15</x:v>
      </x:c>
      <x:c r="O9" s="158" t="str">
        <x:v>Execution 10</x:v>
      </x:c>
      <x:c r="P9" s="158" t="str">
        <x:v>Evidence 15</x:v>
      </x:c>
      <x:c r="Q9" s="158" t="str">
        <x:v>Contacts 5</x:v>
      </x:c>
      <x:c r="R9" s="158" t="str">
        <x:v>Score</x:v>
      </x:c>
      <x:c r="S9" s="158" t="str">
        <x:v>Sources / dates</x:v>
      </x:c>
      <x:c r="T9" s="158" t="str">
        <x:v>Verified public contact</x:v>
      </x:c>
      <x:c r="U9" s="158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11 | checked Sep. 14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14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14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14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refreshed Sep. 8 | checked Sep. 14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crawled Sep. 14 | checked Sep. 14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51" t="str">
        <x:v>Watch — 65–74: evidence or product gates still open</x:v>
      </x:c>
    </x:row>
    <x:row r="18" ht="38" customHeight="1">
      <x:c r="A18" s="158" t="str">
        <x:v>Lead ID</x:v>
      </x:c>
      <x:c r="B18" s="158" t="str">
        <x:v>Classification</x:v>
      </x:c>
      <x:c r="C18" s="158" t="str">
        <x:v>Asset / MSA</x:v>
      </x:c>
      <x:c r="D18" s="158" t="str">
        <x:v>Score</x:v>
      </x:c>
      <x:c r="E18" s="158" t="str">
        <x:v>Reason held</x:v>
      </x:c>
      <x:c r="F18" s="158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53" t="str">
        <x:v>Excluded and coverage gaps</x:v>
      </x:c>
    </x:row>
    <x:row r="36" ht="38" customHeight="1">
      <x:c r="A36" s="158" t="str">
        <x:v>Item</x:v>
      </x:c>
      <x:c r="B36" s="158" t="str">
        <x:v>Classification</x:v>
      </x:c>
      <x:c r="C36" s="158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0ad0c71e35384a12"/>
    <x:tablePart xmlns:r="http://schemas.openxmlformats.org/officeDocument/2006/relationships" r:id="R5dfde7842cd74392"/>
    <x:tablePart xmlns:r="http://schemas.openxmlformats.org/officeDocument/2006/relationships" r:id="Rf25423b45a0c468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15, 2026 | Report-only | Targeted public-source coverage; not universal MSA or statewide coverage</x:v>
      </x:c>
    </x:row>
    <x:row r="4">
      <x:c r="A4" s="160" t="str">
        <x:v>Action queue</x:v>
      </x:c>
      <x:c r="B4" s="162" t="str">
        <x:v>5 leads</x:v>
      </x:c>
      <x:c r="D4" s="160" t="str">
        <x:v>Watch 65–74</x:v>
      </x:c>
      <x:c r="E4" s="162" t="str">
        <x:v>16 leads</x:v>
      </x:c>
    </x:row>
    <x:row r="5">
      <x:c r="A5" s="160" t="str">
        <x:v>Priority 85+</x:v>
      </x:c>
      <x:c r="B5" s="162" t="str">
        <x:v>None</x:v>
      </x:c>
      <x:c r="D5" s="160" t="str">
        <x:v>Excluded</x:v>
      </x:c>
      <x:c r="E5" s="162" t="str">
        <x:v>6 categories</x:v>
      </x:c>
    </x:row>
    <x:row r="6">
      <x:c r="A6" s="160" t="str">
        <x:v>Qualified 75–84</x:v>
      </x:c>
      <x:c r="B6" s="162" t="str">
        <x:v>5</x:v>
      </x:c>
      <x:c r="D6" s="160" t="str">
        <x:v>$10M Gate</x:v>
      </x:c>
      <x:c r="E6" s="162" t="str">
        <x:v>Required</x:v>
      </x:c>
    </x:row>
    <x:row r="7">
      <x:c r="A7" s="160" t="str">
        <x:v>New qualified leads</x:v>
      </x:c>
      <x:c r="B7" s="162" t="str">
        <x:v>0</x:v>
      </x:c>
      <x:c r="D7" s="160" t="str">
        <x:v>Outreach</x:v>
      </x:c>
      <x:c r="E7" s="162" t="str">
        <x:v>Named-lead approval required</x:v>
      </x:c>
    </x:row>
    <x:row r="9" ht="38" customHeight="1">
      <x:c r="A9" s="171" t="str">
        <x:v>Lead ID</x:v>
      </x:c>
      <x:c r="B9" s="171" t="str">
        <x:v>Status</x:v>
      </x:c>
      <x:c r="C9" s="171" t="str">
        <x:v>Classification</x:v>
      </x:c>
      <x:c r="D9" s="171" t="str">
        <x:v>$10M Gate</x:v>
      </x:c>
      <x:c r="E9" s="171" t="str">
        <x:v>Asset / Address</x:v>
      </x:c>
      <x:c r="F9" s="171" t="str">
        <x:v>MSA</x:v>
      </x:c>
      <x:c r="G9" s="171" t="str">
        <x:v>Units</x:v>
      </x:c>
      <x:c r="H9" s="171" t="str">
        <x:v>Owner / Broker</x:v>
      </x:c>
      <x:c r="I9" s="171" t="str">
        <x:v>Observed facts</x:v>
      </x:c>
      <x:c r="J9" s="171" t="str">
        <x:v>Inference</x:v>
      </x:c>
      <x:c r="K9" s="171" t="str">
        <x:v>Counterargument</x:v>
      </x:c>
      <x:c r="L9" s="171" t="str">
        <x:v>Sale process 35</x:v>
      </x:c>
      <x:c r="M9" s="171" t="str">
        <x:v>Capital event 20</x:v>
      </x:c>
      <x:c r="N9" s="171" t="str">
        <x:v>Fit 15</x:v>
      </x:c>
      <x:c r="O9" s="171" t="str">
        <x:v>Execution 10</x:v>
      </x:c>
      <x:c r="P9" s="171" t="str">
        <x:v>Evidence 15</x:v>
      </x:c>
      <x:c r="Q9" s="171" t="str">
        <x:v>Contacts 5</x:v>
      </x:c>
      <x:c r="R9" s="171" t="str">
        <x:v>Score</x:v>
      </x:c>
      <x:c r="S9" s="171" t="str">
        <x:v>Sources / dates</x:v>
      </x:c>
      <x:c r="T9" s="171" t="str">
        <x:v>Verified public contact</x:v>
      </x:c>
      <x:c r="U9" s="171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 today: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crawled Sep. 15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ask, Aug. 3 market date, and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crawled Sep. 11 | checked Sep. 15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crawled Sep. 14 | checked Sep. 15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crawled Sep. 8 | checked Sep. 15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Tier 2 report, crawled today, says AJH is seeking a sale and Newmark markets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| Aug. 31 report, crawled Sep. 15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64" t="str">
        <x:v>Watch — 65–74: evidence or product gates still open</x:v>
      </x:c>
    </x:row>
    <x:row r="17" ht="38" customHeight="1">
      <x:c r="A17" s="171" t="str">
        <x:v>Lead ID</x:v>
      </x:c>
      <x:c r="B17" s="171" t="str">
        <x:v>Classification</x:v>
      </x:c>
      <x:c r="C17" s="171" t="str">
        <x:v>Asset / MSA</x:v>
      </x:c>
      <x:c r="D17" s="171" t="str">
        <x:v>Score</x:v>
      </x:c>
      <x:c r="E17" s="171" t="str">
        <x:v>Reason held</x:v>
      </x:c>
      <x:c r="F17" s="171" t="str">
        <x:v>Precise next verification step</x:v>
      </x:c>
    </x:row>
    <x:row r="18" ht="45" customHeight="1">
      <x:c r="A18" s="100" t="str">
        <x:v>LA-014</x:v>
      </x:c>
      <x:c r="B18" s="100" t="str">
        <x:v>Watch</x:v>
      </x:c>
      <x:c r="C18" s="100" t="str">
        <x:v>V on Victory, Van Nuys / Los Angeles</x:v>
      </x:c>
      <x:c r="D18" s="100" t="n">
        <x:v>74</x:v>
      </x:c>
      <x:c r="E18" s="100" t="str">
        <x:v>64 of 68 residences are identified as without rent ceilings; the other four remain unexplained.</x:v>
      </x:c>
      <x:c r="F18" s="100" t="str">
        <x:v>Obtain OM and recorded covenants; reconcile all 68 units’ rent-control, income-restriction, and affordability status.</x:v>
      </x:c>
    </x:row>
    <x:row r="19" ht="45" customHeight="1">
      <x:c r="A19" s="100" t="str">
        <x:v>CHI-003</x:v>
      </x:c>
      <x:c r="B19" s="100" t="str">
        <x:v>Watch</x:v>
      </x:c>
      <x:c r="C19" s="100" t="str">
        <x:v>4520–26 S. Drexel, Chicago</x:v>
      </x:c>
      <x:c r="D19" s="100" t="n">
        <x:v>74</x:v>
      </x:c>
      <x:c r="E19" s="100" t="str">
        <x:v>Secondary foreclosure reporting is not a current primary record.</x:v>
      </x:c>
      <x:c r="F19" s="100" t="str">
        <x:v>Obtain Cook County docket, receiver order, complaint, payoff, and current marketing status.</x:v>
      </x:c>
    </x:row>
    <x:row r="20" ht="45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0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5" customHeight="1">
      <x:c r="A21" s="100" t="str">
        <x:v>LA-012</x:v>
      </x:c>
      <x:c r="B21" s="100" t="str">
        <x:v>Watch</x:v>
      </x:c>
      <x:c r="C21" s="100" t="str">
        <x:v>The Palms, Torrance / Los Angeles</x:v>
      </x:c>
      <x:c r="D21" s="100" t="n">
        <x:v>72</x:v>
      </x:c>
      <x:c r="E21" s="100" t="str">
        <x:v>Current CRMLS/Redfin record switched to under contract on Sep. 14; no financing or lender catalyst is verified.</x:v>
      </x:c>
      <x:c r="F21" s="100" t="str">
        <x:v>Monitor contingency/close status; recheck seller authority, rent control, restrictions, rent roll, and capital need before any re-promotion.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66" t="str">
        <x:v>Excluded and coverage gaps</x:v>
      </x:c>
    </x:row>
    <x:row r="36" ht="38" customHeight="1">
      <x:c r="A36" s="171" t="str">
        <x:v>Item</x:v>
      </x:c>
      <x:c r="B36" s="171" t="str">
        <x:v>Classification</x:v>
      </x:c>
      <x:c r="C36" s="171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56bd744710534c45"/>
    <x:tablePart xmlns:r="http://schemas.openxmlformats.org/officeDocument/2006/relationships" r:id="R02a04515ae6743a9"/>
    <x:tablePart xmlns:r="http://schemas.openxmlformats.org/officeDocument/2006/relationships" r:id="R5ad46608949849e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7, 2026 | Report-only | Targeted public-source coverage; not universal MSA or statewide coverage</x:v>
      </x:c>
    </x:row>
    <x:row r="4">
      <x:c r="A4" s="173" t="str">
        <x:v>Action queue</x:v>
      </x:c>
      <x:c r="B4" s="175" t="str">
        <x:v>5 leads</x:v>
      </x:c>
      <x:c r="D4" s="173" t="str">
        <x:v>Watch 65–74</x:v>
      </x:c>
      <x:c r="E4" s="175" t="str">
        <x:v>17 leads</x:v>
      </x:c>
    </x:row>
    <x:row r="5">
      <x:c r="A5" s="173" t="str">
        <x:v>Priority 85+</x:v>
      </x:c>
      <x:c r="B5" s="175" t="str">
        <x:v>None</x:v>
      </x:c>
      <x:c r="D5" s="173" t="str">
        <x:v>Excluded</x:v>
      </x:c>
      <x:c r="E5" s="175" t="str">
        <x:v>7 categories</x:v>
      </x:c>
    </x:row>
    <x:row r="6">
      <x:c r="A6" s="173" t="str">
        <x:v>Qualified 75–84</x:v>
      </x:c>
      <x:c r="B6" s="175" t="str">
        <x:v>5</x:v>
      </x:c>
      <x:c r="D6" s="173" t="str">
        <x:v>$10M Gate</x:v>
      </x:c>
      <x:c r="E6" s="175" t="str">
        <x:v>Required</x:v>
      </x:c>
    </x:row>
    <x:row r="7">
      <x:c r="A7" s="173" t="str">
        <x:v>New qualified leads</x:v>
      </x:c>
      <x:c r="B7" s="175" t="str">
        <x:v>0</x:v>
      </x:c>
      <x:c r="D7" s="173" t="str">
        <x:v>Outreach</x:v>
      </x:c>
      <x:c r="E7" s="175" t="str">
        <x:v>Named-lead approval required</x:v>
      </x:c>
    </x:row>
    <x:row r="9" ht="38" customHeight="1">
      <x:c r="A9" s="184" t="str">
        <x:v>Lead ID</x:v>
      </x:c>
      <x:c r="B9" s="184" t="str">
        <x:v>Status</x:v>
      </x:c>
      <x:c r="C9" s="184" t="str">
        <x:v>Classification</x:v>
      </x:c>
      <x:c r="D9" s="184" t="str">
        <x:v>$10M Gate</x:v>
      </x:c>
      <x:c r="E9" s="184" t="str">
        <x:v>Asset / Address</x:v>
      </x:c>
      <x:c r="F9" s="184" t="str">
        <x:v>MSA</x:v>
      </x:c>
      <x:c r="G9" s="184" t="str">
        <x:v>Units</x:v>
      </x:c>
      <x:c r="H9" s="184" t="str">
        <x:v>Owner / Broker</x:v>
      </x:c>
      <x:c r="I9" s="184" t="str">
        <x:v>Observed facts</x:v>
      </x:c>
      <x:c r="J9" s="184" t="str">
        <x:v>Inference</x:v>
      </x:c>
      <x:c r="K9" s="184" t="str">
        <x:v>Counterargument</x:v>
      </x:c>
      <x:c r="L9" s="184" t="str">
        <x:v>Sale process 35</x:v>
      </x:c>
      <x:c r="M9" s="184" t="str">
        <x:v>Capital event 20</x:v>
      </x:c>
      <x:c r="N9" s="184" t="str">
        <x:v>Fit 15</x:v>
      </x:c>
      <x:c r="O9" s="184" t="str">
        <x:v>Execution 10</x:v>
      </x:c>
      <x:c r="P9" s="184" t="str">
        <x:v>Evidence 15</x:v>
      </x:c>
      <x:c r="Q9" s="184" t="str">
        <x:v>Contacts 5</x:v>
      </x:c>
      <x:c r="R9" s="184" t="str">
        <x:v>Score</x:v>
      </x:c>
      <x:c r="S9" s="184" t="str">
        <x:v>Sources / dates</x:v>
      </x:c>
      <x:c r="T9" s="184" t="str">
        <x:v>Verified public contact</x:v>
      </x:c>
      <x:c r="U9" s="184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exclusive is live: 2025-built 36-unit conventional apartment asset at $18.0M.</x:v>
      </x:c>
      <x:c r="J10" s="100" t="str">
        <x:v>Near-term sale-advisory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observed Oct. 7 | https://www.marcusmillichap.com/properties/304677/park1915</x:v>
      </x:c>
      <x:c r="T10" s="100" t="str">
        <x:v>Neema Ahadian (310) 909-5444; Jeffrey Estrada (310) 909-5423; Dan Litman (310) 909-2319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is currently available; $15.95M ask and Aug. 3 market date.</x:v>
      </x:c>
      <x:c r="J11" s="100" t="str">
        <x:v>Sale process and disclosed loan-assumption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observed Oct. 7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is currently available; $11.2M, 32 units, 6.44% current cap rate, Aug. 17 market date, and AB 1482-only disclosure.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observed Oct. 7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is currently available at $12M; 172 units, 98% occupancy, apartment subtype, Jul. 22 market date.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observed Oct. 7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independent Tier 2 reports support AJH's sale process and Newmark's marketing of the 44-acre, 64-building value-add asset. Verified 2019 sale value: $141M.</x:v>
      </x:c>
      <x:c r="J14" s="100" t="str">
        <x:v>Institutional process may support sale advisory, financing, preferred equity, recapitalization, or lender dialogue.</x:v>
      </x:c>
      <x:c r="K14" s="100" t="str">
        <x:v>Obtain OM, bid timing,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31; Hoodline Sep. 1 | observed Oct. 7 | https://www.bisnow.com/news/philadelphia/multifamily/largest-apartment-complex-for-sale-international-city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177" t="str">
        <x:v>Watch — 65–74: evidence or product gates still open</x:v>
      </x:c>
    </x:row>
    <x:row r="17" ht="38" customHeight="1">
      <x:c r="A17" s="184" t="str">
        <x:v>Lead ID</x:v>
      </x:c>
      <x:c r="B17" s="184" t="str">
        <x:v>Classification</x:v>
      </x:c>
      <x:c r="C17" s="184" t="str">
        <x:v>Asset / MSA</x:v>
      </x:c>
      <x:c r="D17" s="184" t="str">
        <x:v>Score</x:v>
      </x:c>
      <x:c r="E17" s="184" t="str">
        <x:v>Reason held</x:v>
      </x:c>
      <x:c r="F17" s="184" t="str">
        <x:v>Precise next verification step</x:v>
      </x:c>
    </x:row>
    <x:row r="18" ht="45" customHeight="1">
      <x:c r="A18" s="100" t="str">
        <x:v>FL-010</x:v>
      </x:c>
      <x:c r="B18" s="100" t="str">
        <x:v>Capital Event</x:v>
      </x:c>
      <x:c r="C18" s="100" t="str">
        <x:v>The Landmark South, Doral / Miami</x:v>
      </x:c>
      <x:c r="D18" s="100" t="n">
        <x:v>65</x:v>
      </x:c>
      <x:c r="E18" s="100" t="str">
        <x:v>A $238M floating-rate, interest-only bridge refinance closed Sep. 28. It is a verified capital event but does not establish a current sale process or unmet capital need.</x:v>
      </x:c>
      <x:c r="F18" s="100" t="str">
        <x:v>Confirm bridge term, extension/maturity, business-plan milestones, current capital need, sponsor authority, and whether Torchlight or JSB has an active financing, recap, or disposition dialogue.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LA-012</x:v>
      </x:c>
      <x:c r="B22" s="100" t="str">
        <x:v>Watch</x:v>
      </x:c>
      <x:c r="C22" s="100" t="str">
        <x:v>The Palms, Torrance / Los Angeles</x:v>
      </x:c>
      <x:c r="D22" s="100" t="n">
        <x:v>72</x:v>
      </x:c>
      <x:c r="E22" s="100" t="str">
        <x:v>Current CRMLS/Redfin record switched to under contract on Sep. 14; no financing or lender catalyst is verified.</x:v>
      </x:c>
      <x:c r="F22" s="100" t="str">
        <x:v>Monitor contingency/close status; recheck seller authority, rent control, restrictions, rent roll, and capital need before any re-promotion.</x:v>
      </x:c>
    </x:row>
    <x:row r="23" ht="45" customHeight="1">
      <x:c r="A23" s="100" t="str">
        <x:v>FL-001</x:v>
      </x:c>
      <x:c r="B23" s="100" t="str">
        <x:v>Watch</x:v>
      </x:c>
      <x:c r="C23" s="100" t="str">
        <x:v>Gables Galiano, Coral Gables / Miami</x:v>
      </x:c>
      <x:c r="D23" s="100" t="n">
        <x:v>71</x:v>
      </x:c>
      <x:c r="E23" s="100" t="str">
        <x:v>Extended marketing weakens current sale-process evidence.</x:v>
      </x:c>
      <x:c r="F23" s="100" t="str">
        <x:v>Obtain current broker mandate, OM, rent roll, restrictions confirmation, and seller authority.</x:v>
      </x:c>
    </x:row>
    <x:row r="24" ht="45" customHeight="1">
      <x:c r="A24" s="100" t="str">
        <x:v>FL-006</x:v>
      </x:c>
      <x:c r="B24" s="100" t="str">
        <x:v>Watch</x:v>
      </x:c>
      <x:c r="C24" s="100" t="str">
        <x:v>Genesis Clearwater, Clearwater / Tampa</x:v>
      </x:c>
      <x:c r="D24" s="100" t="n">
        <x:v>71</x:v>
      </x:c>
      <x:c r="E24" s="100" t="str">
        <x:v>Foreclosure reporting lacks primary debt and party linkage.</x:v>
      </x:c>
      <x:c r="F24" s="100" t="str">
        <x:v>Obtain Pinellas complaint, mortgage/assignment, debt balance, lender/borrower link, and restriction evidence.</x:v>
      </x:c>
    </x:row>
    <x:row r="25" ht="45" customHeight="1">
      <x:c r="A25" s="100" t="str">
        <x:v>FL-007</x:v>
      </x:c>
      <x:c r="B25" s="100" t="str">
        <x:v>Watch</x:v>
      </x:c>
      <x:c r="C25" s="100" t="str">
        <x:v>650 SW 1st St., Miami</x:v>
      </x:c>
      <x:c r="D25" s="100" t="n">
        <x:v>70</x:v>
      </x:c>
      <x:c r="E25" s="100" t="str">
        <x:v>21 apartments plus retail and no explicit total ask.</x:v>
      </x:c>
      <x:c r="F25" s="100" t="str">
        <x:v>Obtain signed mandate with total ask, residential-income split, rent roll, restrictions, and broker.</x:v>
      </x:c>
    </x:row>
    <x:row r="26" ht="45" customHeight="1">
      <x:c r="A26" s="100" t="str">
        <x:v>PHI-008</x:v>
      </x:c>
      <x:c r="B26" s="100" t="str">
        <x:v>Watch</x:v>
      </x:c>
      <x:c r="C26" s="100" t="str">
        <x:v>220–222 Church, Philadelphia</x:v>
      </x:c>
      <x:c r="D26" s="100" t="n">
        <x:v>70</x:v>
      </x:c>
      <x:c r="E26" s="100" t="str">
        <x:v>Unit count, commercial scope, and mandate remain inconsistent.</x:v>
      </x:c>
      <x:c r="F26" s="100" t="str">
        <x:v>Obtain OM, lease/rent roll, 40-versus-45-unit reconciliation, and broker mandate.</x:v>
      </x:c>
    </x:row>
    <x:row r="27" ht="45" customHeight="1">
      <x:c r="A27" s="100" t="str">
        <x:v>PHI-007</x:v>
      </x:c>
      <x:c r="B27" s="100" t="str">
        <x:v>Watch</x:v>
      </x:c>
      <x:c r="C27" s="100" t="str">
        <x:v>The Maxfield, Philadelphia</x:v>
      </x:c>
      <x:c r="D27" s="100" t="n">
        <x:v>70</x:v>
      </x:c>
      <x:c r="E27" s="100" t="str">
        <x:v>Listing age weakens current availability.</x:v>
      </x:c>
      <x:c r="F27" s="100" t="str">
        <x:v>Obtain current exclusive, T-12, rent roll, and seller-authority confirmation.</x:v>
      </x:c>
    </x:row>
    <x:row r="28" ht="45" customHeight="1">
      <x:c r="A28" s="100" t="str">
        <x:v>FL-005</x:v>
      </x:c>
      <x:c r="B28" s="100" t="str">
        <x:v>Watch</x:v>
      </x:c>
      <x:c r="C28" s="100" t="str">
        <x:v>The Wave Apartments, Tampa</x:v>
      </x:c>
      <x:c r="D28" s="100" t="n">
        <x:v>69</x:v>
      </x:c>
      <x:c r="E28" s="100" t="str">
        <x:v>Default reporting lacks a primary foreclosure record.</x:v>
      </x:c>
      <x:c r="F28" s="100" t="str">
        <x:v>Obtain Hillsborough complaint, mortgage/assignment, lender/borrower linkage, and restrictions.</x:v>
      </x:c>
    </x:row>
    <x:row r="29" ht="45" customHeight="1">
      <x:c r="A29" s="100" t="str">
        <x:v>FL-003</x:v>
      </x:c>
      <x:c r="B29" s="100" t="str">
        <x:v>Watch</x:v>
      </x:c>
      <x:c r="C29" s="100" t="str">
        <x:v>California Club, Miami</x:v>
      </x:c>
      <x:c r="D29" s="100" t="n">
        <x:v>69</x:v>
      </x:c>
      <x:c r="E29" s="100" t="str">
        <x:v>Current mandate evidence is insufficiently recent.</x:v>
      </x:c>
      <x:c r="F29" s="100" t="str">
        <x:v>Obtain current listing agreement, units/price confirmation, rent roll, and restriction check.</x:v>
      </x:c>
    </x:row>
    <x:row r="30" ht="45" customHeight="1">
      <x:c r="A30" s="100" t="str">
        <x:v>LA-007</x:v>
      </x:c>
      <x:c r="B30" s="100" t="str">
        <x:v>Watch</x:v>
      </x:c>
      <x:c r="C30" s="100" t="str">
        <x:v>The Jeffries, Los Angeles</x:v>
      </x:c>
      <x:c r="D30" s="100" t="n">
        <x:v>69</x:v>
      </x:c>
      <x:c r="E30" s="100" t="str">
        <x:v>Current availability and regulatory status lack corroboration.</x:v>
      </x:c>
      <x:c r="F30" s="100" t="str">
        <x:v>Obtain live broker mandate, RSO/affordability clearance, price, and rent roll.</x:v>
      </x:c>
    </x:row>
    <x:row r="31" ht="45" customHeight="1">
      <x:c r="A31" s="100" t="str">
        <x:v>NY-001</x:v>
      </x:c>
      <x:c r="B31" s="100" t="str">
        <x:v>Watch</x:v>
      </x:c>
      <x:c r="C31" s="100" t="str">
        <x:v>30-unit portfolio, NYC</x:v>
      </x:c>
      <x:c r="D31" s="100" t="n">
        <x:v>68</x:v>
      </x:c>
      <x:c r="E31" s="100" t="str">
        <x:v>Stabilization status and current sale process are unclear.</x:v>
      </x:c>
      <x:c r="F31" s="100" t="str">
        <x:v>Obtain HPD/DHCR records, current OM, address list, price, and broker authority.</x:v>
      </x:c>
    </x:row>
    <x:row r="32" ht="45" customHeight="1">
      <x:c r="A32" s="100" t="str">
        <x:v>LA-008</x:v>
      </x:c>
      <x:c r="B32" s="100" t="str">
        <x:v>Watch</x:v>
      </x:c>
      <x:c r="C32" s="100" t="str">
        <x:v>The Cooper, Los Angeles</x:v>
      </x:c>
      <x:c r="D32" s="100" t="n">
        <x:v>68</x:v>
      </x:c>
      <x:c r="E32" s="100" t="str">
        <x:v>Current listing needs RSO determination.</x:v>
      </x:c>
      <x:c r="F32" s="100" t="str">
        <x:v>Verify HCIDLA RSO status, title/covenants, and current broker mandate.</x:v>
      </x:c>
    </x:row>
    <x:row r="33" ht="45" customHeight="1">
      <x:c r="A33" s="100" t="str">
        <x:v>LA-009</x:v>
      </x:c>
      <x:c r="B33" s="100" t="str">
        <x:v>Watch</x:v>
      </x:c>
      <x:c r="C33" s="100" t="str">
        <x:v>1400 Venice Blvd., Los Angeles</x:v>
      </x:c>
      <x:c r="D33" s="100" t="n">
        <x:v>68</x:v>
      </x:c>
      <x:c r="E33" s="100" t="str">
        <x:v>Ask lacks a dated current listing record.</x:v>
      </x:c>
      <x:c r="F33" s="100" t="str">
        <x:v>Obtain dated exclusive/MLS, seller authority, RSO/covenant status, and rent roll.</x:v>
      </x:c>
    </x:row>
    <x:row r="34" ht="45" customHeight="1">
      <x:c r="A34" s="100" t="str">
        <x:v>LA-013</x:v>
      </x:c>
      <x:c r="B34" s="100" t="str">
        <x:v>Watch</x:v>
      </x:c>
      <x:c r="C34" s="100" t="str">
        <x:v>Park Terrace Apartments, Los Angeles</x:v>
      </x:c>
      <x:c r="D34" s="100" t="n">
        <x:v>68</x:v>
      </x:c>
      <x:c r="E34" s="100" t="str">
        <x:v>Aged mandate and occupancy/regulatory evidence remain unresolved.</x:v>
      </x:c>
      <x:c r="F34" s="100" t="str">
        <x:v>Obtain current mandate, CO, RSO determination, title/covenants, and rent roll.</x:v>
      </x:c>
    </x:row>
    <x:row r="35">
      <x:c r="A35" s="179" t="str">
        <x:v>Excluded and coverage gaps</x:v>
      </x:c>
    </x:row>
    <x:row r="36" ht="38" customHeight="1">
      <x:c r="A36" s="184" t="str">
        <x:v>Item</x:v>
      </x:c>
      <x:c r="B36" s="184" t="str">
        <x:v>Classification</x:v>
      </x:c>
      <x:c r="C36" s="184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Union West, Chicago</x:v>
      </x:c>
      <x:c r="B42" s="100" t="str">
        <x:v>Excluded</x:v>
      </x:c>
      <x:c r="C42" s="100" t="str">
        <x:v>May Tier 2 sale report is stale and no current direct mandate or availability source was verified.</x:v>
      </x:c>
    </x:row>
    <x:row r="43">
      <x:c r="A43" s="100" t="str">
        <x:v>Prior student, RSO/affordable, TOC/HCA, mixed-use, and dormitory exclusions</x:v>
      </x:c>
      <x:c r="B43" s="100" t="str">
        <x:v>Excluded</x:v>
      </x:c>
      <x:c r="C43" s="100" t="str">
        <x:v>Remain out pending clearing evidence or authorized mandate change.</x:v>
      </x:c>
    </x:row>
  </x:sheetData>
  <x:mergeCells>
    <x:mergeCell ref="A1:U1"/>
    <x:mergeCell ref="A2:U2"/>
    <x:mergeCell ref="A16:F16"/>
    <x:mergeCell ref="A35:C35"/>
  </x:mergeCells>
  <x:pageMargins left="0.7" right="0.7" top="0.75" bottom="0.75" header="0.3" footer="0.3"/>
  <x:tableParts count="3">
    <x:tablePart xmlns:r="http://schemas.openxmlformats.org/officeDocument/2006/relationships" r:id="R4fbd3ed6dd814ab0"/>
    <x:tablePart xmlns:r="http://schemas.openxmlformats.org/officeDocument/2006/relationships" r:id="Re51a9cbd95854df0"/>
    <x:tablePart xmlns:r="http://schemas.openxmlformats.org/officeDocument/2006/relationships" r:id="R29dfdf92483142a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8, 2026 | Report-only | Targeted public-source coverage; not universal MSA or statewide coverage</x:v>
      </x:c>
    </x:row>
    <x:row r="4">
      <x:c r="A4" s="186" t="str">
        <x:v>Action queue</x:v>
      </x:c>
      <x:c r="B4" s="188" t="str">
        <x:v>6 leads</x:v>
      </x:c>
      <x:c r="D4" s="186" t="str">
        <x:v>Watch 65–74</x:v>
      </x:c>
      <x:c r="E4" s="188" t="str">
        <x:v>17 leads</x:v>
      </x:c>
    </x:row>
    <x:row r="5">
      <x:c r="A5" s="186" t="str">
        <x:v>Priority 85+</x:v>
      </x:c>
      <x:c r="B5" s="188" t="str">
        <x:v>None</x:v>
      </x:c>
      <x:c r="D5" s="186" t="str">
        <x:v>Excluded</x:v>
      </x:c>
      <x:c r="E5" s="188" t="str">
        <x:v>11 items/categories</x:v>
      </x:c>
    </x:row>
    <x:row r="6">
      <x:c r="A6" s="186" t="str">
        <x:v>Qualified 75–84</x:v>
      </x:c>
      <x:c r="B6" s="188" t="str">
        <x:v>6</x:v>
      </x:c>
      <x:c r="D6" s="186" t="str">
        <x:v>$10M Gate</x:v>
      </x:c>
      <x:c r="E6" s="188" t="str">
        <x:v>Required</x:v>
      </x:c>
    </x:row>
    <x:row r="7">
      <x:c r="A7" s="186" t="str">
        <x:v>New qualified leads</x:v>
      </x:c>
      <x:c r="B7" s="188" t="str">
        <x:v>1</x:v>
      </x:c>
      <x:c r="D7" s="186" t="str">
        <x:v>Outreach</x:v>
      </x:c>
      <x:c r="E7" s="188" t="str">
        <x:v>Named-lead approval required</x:v>
      </x:c>
    </x:row>
    <x:row r="9" ht="40" customHeight="1">
      <x:c r="A9" s="197" t="str">
        <x:v>Lead ID</x:v>
      </x:c>
      <x:c r="B9" s="197" t="str">
        <x:v>Status</x:v>
      </x:c>
      <x:c r="C9" s="197" t="str">
        <x:v>Classification</x:v>
      </x:c>
      <x:c r="D9" s="197" t="str">
        <x:v>$10M Gate</x:v>
      </x:c>
      <x:c r="E9" s="197" t="str">
        <x:v>Asset / Address</x:v>
      </x:c>
      <x:c r="F9" s="197" t="str">
        <x:v>MSA</x:v>
      </x:c>
      <x:c r="G9" s="197" t="str">
        <x:v>Units</x:v>
      </x:c>
      <x:c r="H9" s="197" t="str">
        <x:v>Owner / Broker</x:v>
      </x:c>
      <x:c r="I9" s="197" t="str">
        <x:v>Observed facts</x:v>
      </x:c>
      <x:c r="J9" s="197" t="str">
        <x:v>Inference</x:v>
      </x:c>
      <x:c r="K9" s="197" t="str">
        <x:v>Counterargument</x:v>
      </x:c>
      <x:c r="L9" s="197" t="str">
        <x:v>Sale process 35</x:v>
      </x:c>
      <x:c r="M9" s="197" t="str">
        <x:v>Capital event 20</x:v>
      </x:c>
      <x:c r="N9" s="197" t="str">
        <x:v>Fit 15</x:v>
      </x:c>
      <x:c r="O9" s="197" t="str">
        <x:v>Execution 10</x:v>
      </x:c>
      <x:c r="P9" s="197" t="str">
        <x:v>Evidence 15</x:v>
      </x:c>
      <x:c r="Q9" s="197" t="str">
        <x:v>Contacts 5</x:v>
      </x:c>
      <x:c r="R9" s="197" t="str">
        <x:v>Score</x:v>
      </x:c>
      <x:c r="S9" s="197" t="str">
        <x:v>Sources / dates</x:v>
      </x:c>
      <x:c r="T9" s="197" t="str">
        <x:v>Verified public contact</x:v>
      </x:c>
      <x:c r="U9" s="197" t="str">
        <x:v>Light Tower angle</x:v>
      </x:c>
    </x:row>
    <x:row r="10" ht="100" customHeight="1">
      <x:c r="A10" s="100" t="str">
        <x:v>PHI-011</x:v>
      </x:c>
      <x:c r="B10" s="100" t="str">
        <x:v>New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active direct offering: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| listed Aug. 31; observed Oct. 8 | https://www.loopnet.com/Listing/1220-N-Broad-St-1254-N-Carlisle-St/41945982/</x:v>
      </x:c>
      <x:c r="T10" s="100" t="str">
        <x:v>Ken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is live: 2025-built, 36-unit conventional apartment asset at $18.0M.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Marcus &amp; Millichap | observed Oct. 8 | https://www.marcusmillichap.com/properties/304677/park1915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is currently available; $15.95M ask and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3 market date; observed Oct. 8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is currently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Aug. 17 market date; observed Oct. 8 | https://www.loopnet.com/Listing/2912-W-141st-Pl-Gardena-CA/41773238/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is currently available at $12M; 172 units, 98% occupancy, apartment subtype, Jul. 22 market date.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Jul. 22 market date; observed Oct.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observed Oct. 8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90" t="str">
        <x:v>Watch — 65–74: evidence or product gates still open</x:v>
      </x:c>
    </x:row>
    <x:row r="18" ht="40" customHeight="1">
      <x:c r="A18" s="197" t="str">
        <x:v>Lead ID</x:v>
      </x:c>
      <x:c r="B18" s="197" t="str">
        <x:v>Classification</x:v>
      </x:c>
      <x:c r="C18" s="197" t="str">
        <x:v>Asset / MSA</x:v>
      </x:c>
      <x:c r="D18" s="197" t="str">
        <x:v>Score</x:v>
      </x:c>
      <x:c r="E18" s="197" t="str">
        <x:v>Reason held</x:v>
      </x:c>
      <x:c r="F18" s="197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192" t="str">
        <x:v>Excluded and coverage gaps</x:v>
      </x:c>
    </x:row>
    <x:row r="38" ht="40" customHeight="1">
      <x:c r="A38" s="197" t="str">
        <x:v>Item</x:v>
      </x:c>
      <x:c r="B38" s="197" t="str">
        <x:v>Classification</x:v>
      </x:c>
      <x:c r="C38" s="197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2629 NW 17th Ave., Miami</x:v>
      </x:c>
      <x:c r="B48" s="100" t="str">
        <x:v>Excluded</x:v>
      </x:c>
      <x:c r="C48" s="100" t="str">
        <x:v>Live Local/workforce-housing development play.</x:v>
      </x:c>
    </x:row>
    <x:row r="49" ht="38" customHeight="1">
      <x:c r="A49" s="100" t="str">
        <x:v>Prior student, RSO/affordable, TOC/HCA, mixed-use, and dormitory exclusions</x:v>
      </x:c>
      <x:c r="B49" s="100" t="str">
        <x:v>Excluded</x:v>
      </x:c>
      <x:c r="C49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d611e3a665514096"/>
    <x:tablePart xmlns:r="http://schemas.openxmlformats.org/officeDocument/2006/relationships" r:id="R0df6b1d8e57f40fc"/>
    <x:tablePart xmlns:r="http://schemas.openxmlformats.org/officeDocument/2006/relationships" r:id="Rc278c70add60484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10, 2026 | Report-only | Targeted public-source coverage; not universal MSA or statewide coverage</x:v>
      </x:c>
    </x:row>
    <x:row r="4">
      <x:c r="A4" s="199" t="str">
        <x:v>Action queue</x:v>
      </x:c>
      <x:c r="B4" s="201" t="str">
        <x:v>6 leads</x:v>
      </x:c>
      <x:c r="D4" s="199" t="str">
        <x:v>Watch 65–74</x:v>
      </x:c>
      <x:c r="E4" s="201" t="str">
        <x:v>17 leads</x:v>
      </x:c>
    </x:row>
    <x:row r="5">
      <x:c r="A5" s="199" t="str">
        <x:v>Priority 85+</x:v>
      </x:c>
      <x:c r="B5" s="201" t="str">
        <x:v>None</x:v>
      </x:c>
      <x:c r="D5" s="199" t="str">
        <x:v>Excluded</x:v>
      </x:c>
      <x:c r="E5" s="201" t="str">
        <x:v>11 items/categories</x:v>
      </x:c>
    </x:row>
    <x:row r="6">
      <x:c r="A6" s="199" t="str">
        <x:v>Qualified 75–84</x:v>
      </x:c>
      <x:c r="B6" s="201" t="str">
        <x:v>6</x:v>
      </x:c>
      <x:c r="D6" s="199" t="str">
        <x:v>$10M Gate</x:v>
      </x:c>
      <x:c r="E6" s="201" t="str">
        <x:v>Required</x:v>
      </x:c>
    </x:row>
    <x:row r="7">
      <x:c r="A7" s="199" t="str">
        <x:v>New qualified leads</x:v>
      </x:c>
      <x:c r="B7" s="201" t="str">
        <x:v>0</x:v>
      </x:c>
      <x:c r="D7" s="199" t="str">
        <x:v>Outreach</x:v>
      </x:c>
      <x:c r="E7" s="201" t="str">
        <x:v>Named-lead approval required</x:v>
      </x:c>
    </x:row>
    <x:row r="9" ht="40" customHeight="1">
      <x:c r="A9" s="210" t="str">
        <x:v>Lead ID</x:v>
      </x:c>
      <x:c r="B9" s="210" t="str">
        <x:v>Status</x:v>
      </x:c>
      <x:c r="C9" s="210" t="str">
        <x:v>Classification</x:v>
      </x:c>
      <x:c r="D9" s="210" t="str">
        <x:v>$10M Gate</x:v>
      </x:c>
      <x:c r="E9" s="210" t="str">
        <x:v>Asset / Address</x:v>
      </x:c>
      <x:c r="F9" s="210" t="str">
        <x:v>MSA</x:v>
      </x:c>
      <x:c r="G9" s="210" t="str">
        <x:v>Units</x:v>
      </x:c>
      <x:c r="H9" s="210" t="str">
        <x:v>Owner / Broker</x:v>
      </x:c>
      <x:c r="I9" s="210" t="str">
        <x:v>Observed facts</x:v>
      </x:c>
      <x:c r="J9" s="210" t="str">
        <x:v>Inference</x:v>
      </x:c>
      <x:c r="K9" s="210" t="str">
        <x:v>Counterargument</x:v>
      </x:c>
      <x:c r="L9" s="210" t="str">
        <x:v>Sale process 35</x:v>
      </x:c>
      <x:c r="M9" s="210" t="str">
        <x:v>Capital event 20</x:v>
      </x:c>
      <x:c r="N9" s="210" t="str">
        <x:v>Fit 15</x:v>
      </x:c>
      <x:c r="O9" s="210" t="str">
        <x:v>Execution 10</x:v>
      </x:c>
      <x:c r="P9" s="210" t="str">
        <x:v>Evidence 15</x:v>
      </x:c>
      <x:c r="Q9" s="210" t="str">
        <x:v>Contacts 5</x:v>
      </x:c>
      <x:c r="R9" s="210" t="str">
        <x:v>Score</x:v>
      </x:c>
      <x:c r="S9" s="210" t="str">
        <x:v>Sources / dates</x:v>
      </x:c>
      <x:c r="T9" s="210" t="str">
        <x:v>Verified public contact</x:v>
      </x:c>
      <x:c r="U9" s="210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offering shows Active: $40.2M, 309 apartments, 8,130 SF ground-floor commercial space, 95% / 89% occupancy, listed Aug. 31.</x:v>
      </x:c>
      <x:c r="J10" s="100" t="str">
        <x:v>Current named-broker sale process supports sale advisory, buyer financing, bridge, preferred equity, or recapitalization review.</x:v>
      </x:c>
      <x:c r="K10" s="100" t="str">
        <x:v>Confirm commercial-income split, 5-bedroom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rechecked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exclusive remains available: 2025-built, 36-unit conventional apartment asset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rechecked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listing remains available;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rechecked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listing remains available;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rechecked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available at $12M;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rechecked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 | rechecked Oct.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03" t="str">
        <x:v>Watch — 65–74: evidence or product gates still open</x:v>
      </x:c>
    </x:row>
    <x:row r="18" ht="40" customHeight="1">
      <x:c r="A18" s="210" t="str">
        <x:v>Lead ID</x:v>
      </x:c>
      <x:c r="B18" s="210" t="str">
        <x:v>Classification</x:v>
      </x:c>
      <x:c r="C18" s="210" t="str">
        <x:v>Asset / MSA</x:v>
      </x:c>
      <x:c r="D18" s="210" t="str">
        <x:v>Score</x:v>
      </x:c>
      <x:c r="E18" s="210" t="str">
        <x:v>Reason held</x:v>
      </x:c>
      <x:c r="F18" s="210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05" t="str">
        <x:v>Excluded and coverage gaps</x:v>
      </x:c>
    </x:row>
    <x:row r="38" ht="40" customHeight="1">
      <x:c r="A38" s="210" t="str">
        <x:v>Item</x:v>
      </x:c>
      <x:c r="B38" s="210" t="str">
        <x:v>Classification</x:v>
      </x:c>
      <x:c r="C38" s="210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a632ab7233664120"/>
    <x:tablePart xmlns:r="http://schemas.openxmlformats.org/officeDocument/2006/relationships" r:id="Rd61c7a5a7a334fcc"/>
    <x:tablePart xmlns:r="http://schemas.openxmlformats.org/officeDocument/2006/relationships" r:id="R79520ae5d6c4496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11, 2026 | Report-only | Targeted public-source coverage; not universal MSA or statewide coverage</x:v>
      </x:c>
    </x:row>
    <x:row r="4">
      <x:c r="A4" s="212" t="str">
        <x:v>Action queue</x:v>
      </x:c>
      <x:c r="B4" s="214" t="str">
        <x:v>6 leads</x:v>
      </x:c>
      <x:c r="D4" s="212" t="str">
        <x:v>Watch 65–74</x:v>
      </x:c>
      <x:c r="E4" s="214" t="str">
        <x:v>17 leads</x:v>
      </x:c>
    </x:row>
    <x:row r="5">
      <x:c r="A5" s="212" t="str">
        <x:v>Priority 85+</x:v>
      </x:c>
      <x:c r="B5" s="214" t="str">
        <x:v>None</x:v>
      </x:c>
      <x:c r="D5" s="212" t="str">
        <x:v>Excluded</x:v>
      </x:c>
      <x:c r="E5" s="214" t="str">
        <x:v>11 items/categories</x:v>
      </x:c>
    </x:row>
    <x:row r="6">
      <x:c r="A6" s="212" t="str">
        <x:v>Qualified 75–84</x:v>
      </x:c>
      <x:c r="B6" s="214" t="str">
        <x:v>6</x:v>
      </x:c>
      <x:c r="D6" s="212" t="str">
        <x:v>$10M Gate</x:v>
      </x:c>
      <x:c r="E6" s="214" t="str">
        <x:v>Required</x:v>
      </x:c>
    </x:row>
    <x:row r="7">
      <x:c r="A7" s="212" t="str">
        <x:v>New qualified leads</x:v>
      </x:c>
      <x:c r="B7" s="214" t="str">
        <x:v>0</x:v>
      </x:c>
      <x:c r="D7" s="212" t="str">
        <x:v>Outreach</x:v>
      </x:c>
      <x:c r="E7" s="214" t="str">
        <x:v>Named-lead approval required</x:v>
      </x:c>
    </x:row>
    <x:row r="9" ht="40" customHeight="1">
      <x:c r="A9" s="223" t="str">
        <x:v>Lead ID</x:v>
      </x:c>
      <x:c r="B9" s="223" t="str">
        <x:v>Status</x:v>
      </x:c>
      <x:c r="C9" s="223" t="str">
        <x:v>Classification</x:v>
      </x:c>
      <x:c r="D9" s="223" t="str">
        <x:v>$10M Gate</x:v>
      </x:c>
      <x:c r="E9" s="223" t="str">
        <x:v>Asset / Address</x:v>
      </x:c>
      <x:c r="F9" s="223" t="str">
        <x:v>MSA</x:v>
      </x:c>
      <x:c r="G9" s="223" t="str">
        <x:v>Units</x:v>
      </x:c>
      <x:c r="H9" s="223" t="str">
        <x:v>Owner / Broker</x:v>
      </x:c>
      <x:c r="I9" s="223" t="str">
        <x:v>Observed facts</x:v>
      </x:c>
      <x:c r="J9" s="223" t="str">
        <x:v>Inference</x:v>
      </x:c>
      <x:c r="K9" s="223" t="str">
        <x:v>Counterargument</x:v>
      </x:c>
      <x:c r="L9" s="223" t="str">
        <x:v>Sale process 35</x:v>
      </x:c>
      <x:c r="M9" s="223" t="str">
        <x:v>Capital event 20</x:v>
      </x:c>
      <x:c r="N9" s="223" t="str">
        <x:v>Fit 15</x:v>
      </x:c>
      <x:c r="O9" s="223" t="str">
        <x:v>Execution 10</x:v>
      </x:c>
      <x:c r="P9" s="223" t="str">
        <x:v>Evidence 15</x:v>
      </x:c>
      <x:c r="Q9" s="223" t="str">
        <x:v>Contacts 5</x:v>
      </x:c>
      <x:c r="R9" s="223" t="str">
        <x:v>Score</x:v>
      </x:c>
      <x:c r="S9" s="223" t="str">
        <x:v>Sources / dates</x:v>
      </x:c>
      <x:c r="T9" s="223" t="str">
        <x:v>Verified public contact</x:v>
      </x:c>
      <x:c r="U9" s="223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Last Tier 1 direct observation Oct. 10: Active, $40.2M, 309 apartments, 8,130 SF ground-floor commercial space,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Last Tier 1 direct observation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Last Tier 1 direct observation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Last Tier 1 direct observation Oct. 10: $11.2M, 32 units, 6.44% current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Jonathan Nikfarjam; 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Last Tier 1 direct observation Oct. 10: $12M, 172 apartment units,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continue to support AJH's sale process and Newmark's marketing of the 44-acre, 64-building value-add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result Oct. 11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16" t="str">
        <x:v>Watch — 65–74: evidence or product gates still open</x:v>
      </x:c>
    </x:row>
    <x:row r="18" ht="40" customHeight="1">
      <x:c r="A18" s="223" t="str">
        <x:v>Lead ID</x:v>
      </x:c>
      <x:c r="B18" s="223" t="str">
        <x:v>Classification</x:v>
      </x:c>
      <x:c r="C18" s="223" t="str">
        <x:v>Asset / MSA</x:v>
      </x:c>
      <x:c r="D18" s="223" t="str">
        <x:v>Score</x:v>
      </x:c>
      <x:c r="E18" s="223" t="str">
        <x:v>Reason held</x:v>
      </x:c>
      <x:c r="F18" s="223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18" t="str">
        <x:v>Excluded and coverage gaps</x:v>
      </x:c>
    </x:row>
    <x:row r="38" ht="40" customHeight="1">
      <x:c r="A38" s="223" t="str">
        <x:v>Item</x:v>
      </x:c>
      <x:c r="B38" s="223" t="str">
        <x:v>Classification</x:v>
      </x:c>
      <x:c r="C38" s="223" t="str">
        <x:v>Exclusion reason</x:v>
      </x:c>
    </x:row>
    <x:row r="39" ht="38" customHeight="1">
      <x:c r="A39" s="100" t="str">
        <x:v>Reside on Jackson, Chicago</x:v>
      </x:c>
      <x:c r="B39" s="100" t="str">
        <x:v>Excluded</x:v>
      </x:c>
      <x:c r="C39" s="100" t="str">
        <x:v>$24.7M five-year permanent Fannie refinance is closed; no public sale process or unresolved financing catalyst.</x:v>
      </x:c>
    </x:row>
    <x:row r="40" ht="38" customHeight="1">
      <x:c r="A40" s="100" t="str">
        <x:v>Verso Luxury, Davenport / Orlando MSA</x:v>
      </x:c>
      <x:c r="B40" s="100" t="str">
        <x:v>Excluded</x:v>
      </x:c>
      <x:c r="C40" s="100" t="str">
        <x:v>$57M acquisition and $40.5M loan are closed; no current sale process or capital need verified.</x:v>
      </x:c>
    </x:row>
    <x:row r="41" ht="38" customHeight="1">
      <x:c r="A41" s="100" t="str">
        <x:v>The Marling at Town Creek, Leland / Wilmington MSA</x:v>
      </x:c>
      <x:c r="B41" s="100" t="str">
        <x:v>Excluded</x:v>
      </x:c>
      <x:c r="C41" s="100" t="str">
        <x:v>$57.7M acquisition closed; no current sale process verified.</x:v>
      </x:c>
    </x:row>
    <x:row r="42" ht="38" customHeight="1">
      <x:c r="A42" s="100" t="str">
        <x:v>Blue Station, Blue Island / Chicago MSA</x:v>
      </x:c>
      <x:c r="B42" s="100" t="str">
        <x:v>Excluded</x:v>
      </x:c>
      <x:c r="C42" s="100" t="str">
        <x:v>$22M sale closed.</x:v>
      </x:c>
    </x:row>
    <x:row r="43" ht="38" customHeight="1">
      <x:c r="A43" s="100" t="str">
        <x:v>Belle on Bev, Los Angeles</x:v>
      </x:c>
      <x:c r="B43" s="100" t="str">
        <x:v>Excluded</x:v>
      </x:c>
      <x:c r="C43" s="100" t="str">
        <x:v>Completed recapitalization; materially mixed retail, entertainment, and bar uses.</x:v>
      </x:c>
    </x:row>
    <x:row r="44" ht="38" customHeight="1">
      <x:c r="A44" s="100" t="str">
        <x:v>836–838 N. Broad, Philadelphia</x:v>
      </x:c>
      <x:c r="B44" s="100" t="str">
        <x:v>Excluded</x:v>
      </x:c>
      <x:c r="C44" s="100" t="str">
        <x:v>PHA-supported income and commercial component require regulatory and residential-income treatment confirmation.</x:v>
      </x:c>
    </x:row>
    <x:row r="45" ht="38" customHeight="1">
      <x:c r="A45" s="100" t="str">
        <x:v>Avondale Apartments, Philadelphia</x:v>
      </x:c>
      <x:c r="B45" s="100" t="str">
        <x:v>Excluded</x:v>
      </x:c>
      <x:c r="C45" s="100" t="str">
        <x:v>Income-restricted; outside primary queue.</x:v>
      </x:c>
    </x:row>
    <x:row r="46" ht="3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mixed.</x:v>
      </x:c>
    </x:row>
    <x:row r="47" ht="38" customHeight="1">
      <x:c r="A47" s="100" t="str">
        <x:v>1020 SW 2nd St., Miami</x:v>
      </x:c>
      <x:c r="B47" s="100" t="str">
        <x:v>Excluded</x:v>
      </x:c>
      <x:c r="C47" s="100" t="str">
        <x:v>About $6.5M implied price, below $10M gate.</x:v>
      </x:c>
    </x:row>
    <x:row r="48" ht="38" customHeight="1">
      <x:c r="A48" s="100" t="str">
        <x:v>430 &amp; 499 E. 8th St., Brooklyn</x:v>
      </x:c>
      <x:c r="B48" s="100" t="str">
        <x:v>Excluded</x:v>
      </x:c>
      <x:c r="C48" s="100" t="str">
        <x:v>Current $15M refinance is expressly rent-stabilized, outside the primary conventional-unrestricted queue.</x:v>
      </x:c>
    </x:row>
    <x:row r="49" ht="38" customHeight="1">
      <x:c r="A49" s="100" t="str">
        <x:v>2629 NW 17th Ave., Miami</x:v>
      </x:c>
      <x:c r="B49" s="100" t="str">
        <x:v>Excluded</x:v>
      </x:c>
      <x:c r="C49" s="100" t="str">
        <x:v>Live Local/workforce-housing development play.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fad497c09f70416f"/>
    <x:tablePart xmlns:r="http://schemas.openxmlformats.org/officeDocument/2006/relationships" r:id="R355e29e1914b4695"/>
    <x:tablePart xmlns:r="http://schemas.openxmlformats.org/officeDocument/2006/relationships" r:id="Rfa82257f42ce4d8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12, 2026 | Report-only | Targeted public-source coverage; not universal MSA or statewide coverage</x:v>
      </x:c>
    </x:row>
    <x:row r="4">
      <x:c r="A4" s="225" t="str">
        <x:v>Action queue</x:v>
      </x:c>
      <x:c r="B4" s="227" t="str">
        <x:v>6 leads</x:v>
      </x:c>
      <x:c r="D4" s="225" t="str">
        <x:v>Watch 65–74</x:v>
      </x:c>
      <x:c r="E4" s="227" t="str">
        <x:v>17 leads</x:v>
      </x:c>
    </x:row>
    <x:row r="5">
      <x:c r="A5" s="225" t="str">
        <x:v>Priority 85+</x:v>
      </x:c>
      <x:c r="B5" s="227" t="str">
        <x:v>None</x:v>
      </x:c>
      <x:c r="D5" s="225" t="str">
        <x:v>Excluded</x:v>
      </x:c>
      <x:c r="E5" s="227" t="str">
        <x:v>12 items/categories</x:v>
      </x:c>
    </x:row>
    <x:row r="6">
      <x:c r="A6" s="225" t="str">
        <x:v>Qualified 75–84</x:v>
      </x:c>
      <x:c r="B6" s="227" t="str">
        <x:v>6</x:v>
      </x:c>
      <x:c r="D6" s="225" t="str">
        <x:v>$10M Gate</x:v>
      </x:c>
      <x:c r="E6" s="227" t="str">
        <x:v>Required</x:v>
      </x:c>
    </x:row>
    <x:row r="7">
      <x:c r="A7" s="225" t="str">
        <x:v>New qualified leads</x:v>
      </x:c>
      <x:c r="B7" s="227" t="str">
        <x:v>0</x:v>
      </x:c>
      <x:c r="D7" s="225" t="str">
        <x:v>Outreach</x:v>
      </x:c>
      <x:c r="E7" s="227" t="str">
        <x:v>Named-lead approval required</x:v>
      </x:c>
    </x:row>
    <x:row r="9" ht="40" customHeight="1">
      <x:c r="A9" s="236" t="str">
        <x:v>Lead ID</x:v>
      </x:c>
      <x:c r="B9" s="236" t="str">
        <x:v>Status</x:v>
      </x:c>
      <x:c r="C9" s="236" t="str">
        <x:v>Classification</x:v>
      </x:c>
      <x:c r="D9" s="236" t="str">
        <x:v>$10M Gate</x:v>
      </x:c>
      <x:c r="E9" s="236" t="str">
        <x:v>Asset / Address</x:v>
      </x:c>
      <x:c r="F9" s="236" t="str">
        <x:v>MSA</x:v>
      </x:c>
      <x:c r="G9" s="236" t="str">
        <x:v>Units</x:v>
      </x:c>
      <x:c r="H9" s="236" t="str">
        <x:v>Owner / Broker</x:v>
      </x:c>
      <x:c r="I9" s="236" t="str">
        <x:v>Observed facts</x:v>
      </x:c>
      <x:c r="J9" s="236" t="str">
        <x:v>Inference</x:v>
      </x:c>
      <x:c r="K9" s="236" t="str">
        <x:v>Counterargument</x:v>
      </x:c>
      <x:c r="L9" s="236" t="str">
        <x:v>Sale process 35</x:v>
      </x:c>
      <x:c r="M9" s="236" t="str">
        <x:v>Capital event 20</x:v>
      </x:c>
      <x:c r="N9" s="236" t="str">
        <x:v>Fit 15</x:v>
      </x:c>
      <x:c r="O9" s="236" t="str">
        <x:v>Execution 10</x:v>
      </x:c>
      <x:c r="P9" s="236" t="str">
        <x:v>Evidence 15</x:v>
      </x:c>
      <x:c r="Q9" s="236" t="str">
        <x:v>Contacts 5</x:v>
      </x:c>
      <x:c r="R9" s="236" t="str">
        <x:v>Score</x:v>
      </x:c>
      <x:c r="S9" s="236" t="str">
        <x:v>Sources / dates</x:v>
      </x:c>
      <x:c r="T9" s="236" t="str">
        <x:v>Verified public contact</x:v>
      </x:c>
      <x:c r="U9" s="236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observed Oct. 10: Active, $40.2M, 309 apartments, 8,130 SF ground-floor commercial,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10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observed Oct. 10: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observed Oct. 10 | https://www.loopnet.com/Listing/1915-Park-Avenue-Los-Angeles-CA/41776924/</x:v>
      </x:c>
      <x:c r="T11" s="100" t="str">
        <x:v>Neema Ahadian (310) 909-5444; Jeffrey Estrada (310) 909-5423; Dan Litman (310) 909-2319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observed Oct. 10: $15.95M ask, 18 apartments, Aug. 3 market date.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observed Oct. 10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observed Oct. 10: $11.2M, 32 units, 6.44% cap rate, Aug. 17 market date, AB 1482-only disclosure.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observed Oct. 10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observed Oct. 10: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observed Oct. 10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 search confirmed Oct. 12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29" t="str">
        <x:v>Watch — 65–74: evidence or product gates still open</x:v>
      </x:c>
    </x:row>
    <x:row r="18" ht="40" customHeight="1">
      <x:c r="A18" s="236" t="str">
        <x:v>Lead ID</x:v>
      </x:c>
      <x:c r="B18" s="236" t="str">
        <x:v>Classification</x:v>
      </x:c>
      <x:c r="C18" s="236" t="str">
        <x:v>Asset / MSA</x:v>
      </x:c>
      <x:c r="D18" s="236" t="str">
        <x:v>Score</x:v>
      </x:c>
      <x:c r="E18" s="236" t="str">
        <x:v>Reason held</x:v>
      </x:c>
      <x:c r="F18" s="236" t="str">
        <x:v>Precise next verification step</x:v>
      </x:c>
    </x:row>
    <x:row r="19" ht="46" customHeight="1">
      <x:c r="A19" s="100" t="str">
        <x:v>FL-010</x:v>
      </x:c>
      <x:c r="B19" s="100" t="str">
        <x:v>Capital Event</x:v>
      </x:c>
      <x:c r="C19" s="100" t="str">
        <x:v>Landmark South, Doral / Miami</x:v>
      </x:c>
      <x:c r="D19" s="100" t="n">
        <x:v>65</x:v>
      </x:c>
      <x:c r="E19" s="100" t="str">
        <x:v>$238M bridge refinance closed Sep. 28; no public sale process or documented unmet capital need.</x:v>
      </x:c>
      <x:c r="F19" s="100" t="str">
        <x:v>Confirm bridge term, extension/maturity, business-plan milestones, capital need, authority, and JSB/Torchlight dialogue.</x:v>
      </x:c>
    </x:row>
    <x:row r="20" ht="46" customHeight="1">
      <x:c r="A20" s="100" t="str">
        <x:v>LA-014</x:v>
      </x:c>
      <x:c r="B20" s="100" t="str">
        <x:v>Watch</x:v>
      </x:c>
      <x:c r="C20" s="100" t="str">
        <x:v>V on Victory, Van Nuys / Los Angeles</x:v>
      </x:c>
      <x:c r="D20" s="100" t="n">
        <x:v>74</x:v>
      </x:c>
      <x:c r="E20" s="100" t="str">
        <x:v>Four of 68 units have unexplained restriction status.</x:v>
      </x:c>
      <x:c r="F20" s="100" t="str">
        <x:v>Obtain OM and recorded covenants; reconcile all units’ rent-control, income-restriction, and affordability status.</x:v>
      </x:c>
    </x:row>
    <x:row r="21" ht="46" customHeight="1">
      <x:c r="A21" s="100" t="str">
        <x:v>CHI-003</x:v>
      </x:c>
      <x:c r="B21" s="100" t="str">
        <x:v>Watch</x:v>
      </x:c>
      <x:c r="C21" s="100" t="str">
        <x:v>4520–26 S. Drexel, Chicago</x:v>
      </x:c>
      <x:c r="D21" s="100" t="n">
        <x:v>74</x:v>
      </x:c>
      <x:c r="E21" s="100" t="str">
        <x:v>Current primary foreclosure/receiver evidence is absent.</x:v>
      </x:c>
      <x:c r="F21" s="100" t="str">
        <x:v>Obtain Cook County docket, receiver order, complaint, payoff, and current marketing status.</x:v>
      </x:c>
    </x:row>
    <x:row r="22" ht="46" customHeight="1">
      <x:c r="A22" s="100" t="str">
        <x:v>LA-003</x:v>
      </x:c>
      <x:c r="B22" s="100" t="str">
        <x:v>Watch</x:v>
      </x:c>
      <x:c r="C22" s="100" t="str">
        <x:v>Nabi Apartments, Los Angeles</x:v>
      </x:c>
      <x:c r="D22" s="100" t="n">
        <x:v>72</x:v>
      </x:c>
      <x:c r="E22" s="100" t="str">
        <x:v>Historical CDFI/project evidence requires covenant and title clearance.</x:v>
      </x:c>
      <x:c r="F22" s="100" t="str">
        <x:v>Check recorded affordability covenant, title, HCD records, and deed restrictions.</x:v>
      </x:c>
    </x:row>
    <x:row r="23" ht="46" customHeight="1">
      <x:c r="A23" s="100" t="str">
        <x:v>LA-012</x:v>
      </x:c>
      <x:c r="B23" s="100" t="str">
        <x:v>Watch</x:v>
      </x:c>
      <x:c r="C23" s="100" t="str">
        <x:v>The Palms, Torrance / Los Angeles</x:v>
      </x:c>
      <x:c r="D23" s="100" t="n">
        <x:v>72</x:v>
      </x:c>
      <x:c r="E23" s="100" t="str">
        <x:v>Current record shows contingent, not active sale.</x:v>
      </x:c>
      <x:c r="F23" s="100" t="str">
        <x:v>Monitor close status and verify seller authority, restrictions, rent roll, and financing/lender catalyst.</x:v>
      </x:c>
    </x:row>
    <x:row r="24" ht="46" customHeight="1">
      <x:c r="A24" s="100" t="str">
        <x:v>FL-001</x:v>
      </x:c>
      <x:c r="B24" s="100" t="str">
        <x:v>Watch</x:v>
      </x:c>
      <x:c r="C24" s="100" t="str">
        <x:v>Gables Galiano, Coral Gables / Miami</x:v>
      </x:c>
      <x:c r="D24" s="100" t="n">
        <x:v>71</x:v>
      </x:c>
      <x:c r="E24" s="100" t="str">
        <x:v>Extended marketing weakens current sale-process evidence.</x:v>
      </x:c>
      <x:c r="F24" s="100" t="str">
        <x:v>Obtain current broker mandate, OM, rent roll, restriction confirmation, and seller authority.</x:v>
      </x:c>
    </x:row>
    <x:row r="25" ht="46" customHeight="1">
      <x:c r="A25" s="100" t="str">
        <x:v>FL-006</x:v>
      </x:c>
      <x:c r="B25" s="100" t="str">
        <x:v>Watch</x:v>
      </x:c>
      <x:c r="C25" s="100" t="str">
        <x:v>Genesis Clearwater, Clearwater / Tampa</x:v>
      </x:c>
      <x:c r="D25" s="100" t="n">
        <x:v>71</x:v>
      </x:c>
      <x:c r="E25" s="100" t="str">
        <x:v>Foreclosure reporting lacks primary debt and party linkage.</x:v>
      </x:c>
      <x:c r="F25" s="100" t="str">
        <x:v>Obtain complaint, mortgage/assignment, debt balance, lender/borrower link, and restriction evidence.</x:v>
      </x:c>
    </x:row>
    <x:row r="26" ht="46" customHeight="1">
      <x:c r="A26" s="100" t="str">
        <x:v>FL-007</x:v>
      </x:c>
      <x:c r="B26" s="100" t="str">
        <x:v>Watch</x:v>
      </x:c>
      <x:c r="C26" s="100" t="str">
        <x:v>650 SW 1st St., Miami</x:v>
      </x:c>
      <x:c r="D26" s="100" t="n">
        <x:v>70</x:v>
      </x:c>
      <x:c r="E26" s="100" t="str">
        <x:v>Total ask, product split, and restrictions remain unresolved.</x:v>
      </x:c>
      <x:c r="F26" s="100" t="str">
        <x:v>Obtain total ask, rent roll, residential-income split, restrictions, and named broker.</x:v>
      </x:c>
    </x:row>
    <x:row r="27" ht="46" customHeight="1">
      <x:c r="A27" s="100" t="str">
        <x:v>PHI-008</x:v>
      </x:c>
      <x:c r="B27" s="100" t="str">
        <x:v>Watch</x:v>
      </x:c>
      <x:c r="C27" s="100" t="str">
        <x:v>220–222 Church, Philadelphia</x:v>
      </x:c>
      <x:c r="D27" s="100" t="n">
        <x:v>70</x:v>
      </x:c>
      <x:c r="E27" s="100" t="str">
        <x:v>Unit count, commercial scope, and mandate remain inconsistent.</x:v>
      </x:c>
      <x:c r="F27" s="100" t="str">
        <x:v>Obtain OM, lease/rent roll, 40-versus-45-unit reconciliation, and broker mandate.</x:v>
      </x:c>
    </x:row>
    <x:row r="28" ht="46" customHeight="1">
      <x:c r="A28" s="100" t="str">
        <x:v>PHI-007</x:v>
      </x:c>
      <x:c r="B28" s="100" t="str">
        <x:v>Watch</x:v>
      </x:c>
      <x:c r="C28" s="100" t="str">
        <x:v>The Maxfield, Philadelphia</x:v>
      </x:c>
      <x:c r="D28" s="100" t="n">
        <x:v>70</x:v>
      </x:c>
      <x:c r="E28" s="100" t="str">
        <x:v>Listing age weakens current availability.</x:v>
      </x:c>
      <x:c r="F28" s="100" t="str">
        <x:v>Obtain current exclusive, T-12, rent roll, and seller-authority confirmation.</x:v>
      </x:c>
    </x:row>
    <x:row r="29" ht="46" customHeight="1">
      <x:c r="A29" s="100" t="str">
        <x:v>FL-005</x:v>
      </x:c>
      <x:c r="B29" s="100" t="str">
        <x:v>Watch</x:v>
      </x:c>
      <x:c r="C29" s="100" t="str">
        <x:v>The Wave Apartments, Tampa</x:v>
      </x:c>
      <x:c r="D29" s="100" t="n">
        <x:v>69</x:v>
      </x:c>
      <x:c r="E29" s="100" t="str">
        <x:v>Default reporting lacks a primary foreclosure record.</x:v>
      </x:c>
      <x:c r="F29" s="100" t="str">
        <x:v>Obtain complaint, mortgage/assignment, lender/borrower linkage, and restriction evidence.</x:v>
      </x:c>
    </x:row>
    <x:row r="30" ht="46" customHeight="1">
      <x:c r="A30" s="100" t="str">
        <x:v>FL-003</x:v>
      </x:c>
      <x:c r="B30" s="100" t="str">
        <x:v>Watch</x:v>
      </x:c>
      <x:c r="C30" s="100" t="str">
        <x:v>California Club, Miami</x:v>
      </x:c>
      <x:c r="D30" s="100" t="n">
        <x:v>69</x:v>
      </x:c>
      <x:c r="E30" s="100" t="str">
        <x:v>Current mandate evidence is insufficiently recent.</x:v>
      </x:c>
      <x:c r="F30" s="100" t="str">
        <x:v>Obtain current listing agreement, units/price confirmation, rent roll, and restriction check.</x:v>
      </x:c>
    </x:row>
    <x:row r="31" ht="46" customHeight="1">
      <x:c r="A31" s="100" t="str">
        <x:v>LA-007</x:v>
      </x:c>
      <x:c r="B31" s="100" t="str">
        <x:v>Watch</x:v>
      </x:c>
      <x:c r="C31" s="100" t="str">
        <x:v>The Jeffries, Los Angeles</x:v>
      </x:c>
      <x:c r="D31" s="100" t="n">
        <x:v>69</x:v>
      </x:c>
      <x:c r="E31" s="100" t="str">
        <x:v>Current availability and regulatory status lack corroboration.</x:v>
      </x:c>
      <x:c r="F31" s="100" t="str">
        <x:v>Obtain live broker mandate, RSO/affordability clearance, price, and rent roll.</x:v>
      </x:c>
    </x:row>
    <x:row r="32" ht="46" customHeight="1">
      <x:c r="A32" s="100" t="str">
        <x:v>NY-001</x:v>
      </x:c>
      <x:c r="B32" s="100" t="str">
        <x:v>Watch</x:v>
      </x:c>
      <x:c r="C32" s="100" t="str">
        <x:v>30-unit portfolio, NYC</x:v>
      </x:c>
      <x:c r="D32" s="100" t="n">
        <x:v>68</x:v>
      </x:c>
      <x:c r="E32" s="100" t="str">
        <x:v>Stabilization status and current sale process are unclear.</x:v>
      </x:c>
      <x:c r="F32" s="100" t="str">
        <x:v>Obtain HPD/DHCR records, current OM, address list, price, and broker authority.</x:v>
      </x:c>
    </x:row>
    <x:row r="33" ht="46" customHeight="1">
      <x:c r="A33" s="100" t="str">
        <x:v>LA-008</x:v>
      </x:c>
      <x:c r="B33" s="100" t="str">
        <x:v>Watch</x:v>
      </x:c>
      <x:c r="C33" s="100" t="str">
        <x:v>The Cooper, Los Angeles</x:v>
      </x:c>
      <x:c r="D33" s="100" t="n">
        <x:v>68</x:v>
      </x:c>
      <x:c r="E33" s="100" t="str">
        <x:v>Current listing needs RSO determination.</x:v>
      </x:c>
      <x:c r="F33" s="100" t="str">
        <x:v>Verify HCIDLA RSO status, title/covenants, and current broker mandate.</x:v>
      </x:c>
    </x:row>
    <x:row r="34" ht="46" customHeight="1">
      <x:c r="A34" s="100" t="str">
        <x:v>LA-009</x:v>
      </x:c>
      <x:c r="B34" s="100" t="str">
        <x:v>Watch</x:v>
      </x:c>
      <x:c r="C34" s="100" t="str">
        <x:v>1400 Venice Blvd., Los Angeles</x:v>
      </x:c>
      <x:c r="D34" s="100" t="n">
        <x:v>68</x:v>
      </x:c>
      <x:c r="E34" s="100" t="str">
        <x:v>Ask lacks a dated current listing record.</x:v>
      </x:c>
      <x:c r="F34" s="100" t="str">
        <x:v>Obtain dated exclusive/MLS, seller authority, RSO/covenant status, and rent roll.</x:v>
      </x:c>
    </x:row>
    <x:row r="35" ht="46" customHeight="1">
      <x:c r="A35" s="100" t="str">
        <x:v>LA-013</x:v>
      </x:c>
      <x:c r="B35" s="100" t="str">
        <x:v>Watch</x:v>
      </x:c>
      <x:c r="C35" s="100" t="str">
        <x:v>Park Terrace Apartments, Los Angeles</x:v>
      </x:c>
      <x:c r="D35" s="100" t="n">
        <x:v>68</x:v>
      </x:c>
      <x:c r="E35" s="100" t="str">
        <x:v>Aged mandate and occupancy/regulatory evidence remain unresolved.</x:v>
      </x:c>
      <x:c r="F35" s="100" t="str">
        <x:v>Obtain current mandate, CO, RSO determination, title/covenants, and rent roll.</x:v>
      </x:c>
    </x:row>
    <x:row r="37">
      <x:c r="A37" s="231" t="str">
        <x:v>Excluded and coverage gaps</x:v>
      </x:c>
    </x:row>
    <x:row r="38" ht="40" customHeight="1">
      <x:c r="A38" s="236" t="str">
        <x:v>Item</x:v>
      </x:c>
      <x:c r="B38" s="236" t="str">
        <x:v>Classification</x:v>
      </x:c>
      <x:c r="C38" s="236" t="str">
        <x:v>Exclusion reason</x:v>
      </x:c>
    </x:row>
    <x:row r="39" ht="38" customHeight="1">
      <x:c r="A39" s="100" t="str">
        <x:v>New LA search hits</x:v>
      </x:c>
      <x:c r="B39" s="100" t="str">
        <x:v>Excluded</x:v>
      </x:c>
      <x:c r="C39" s="100" t="str">
        <x:v>3217 S Central is explicitly TOC affordable; 743–749 Gramercy is uncompleted new construction. Neither clears the primary queue.</x:v>
      </x:c>
    </x:row>
    <x:row r="40" ht="38" customHeight="1">
      <x:c r="A40" s="100" t="str">
        <x:v>New Chicago search hits</x:v>
      </x:c>
      <x:c r="B40" s="100" t="str">
        <x:v>Excluded</x:v>
      </x:c>
      <x:c r="C40" s="100" t="str">
        <x:v>Greater Chatham Portfolio’s public excerpt identifies availability but no current ask, debt, or regulatory clearance; no promotion.</x:v>
      </x:c>
    </x:row>
    <x:row r="41" ht="38" customHeight="1">
      <x:c r="A41" s="100" t="str">
        <x:v>Reside on Jackson, Chicago</x:v>
      </x:c>
      <x:c r="B41" s="100" t="str">
        <x:v>Excluded</x:v>
      </x:c>
      <x:c r="C41" s="100" t="str">
        <x:v>$24.7M five-year Fannie refinance is closed; no public sale process or unresolved financing catalyst.</x:v>
      </x:c>
    </x:row>
    <x:row r="42" ht="38" customHeight="1">
      <x:c r="A42" s="100" t="str">
        <x:v>Verso Luxury, Davenport / Orlando MSA</x:v>
      </x:c>
      <x:c r="B42" s="100" t="str">
        <x:v>Excluded</x:v>
      </x:c>
      <x:c r="C42" s="100" t="str">
        <x:v>$57M acquisition and $40.5M loan are closed; no current sale process or capital need verified.</x:v>
      </x:c>
    </x:row>
    <x:row r="43" ht="38" customHeight="1">
      <x:c r="A43" s="100" t="str">
        <x:v>The Marling at Town Creek, Leland / Wilmington MSA</x:v>
      </x:c>
      <x:c r="B43" s="100" t="str">
        <x:v>Excluded</x:v>
      </x:c>
      <x:c r="C43" s="100" t="str">
        <x:v>$57.7M acquisition closed; no current sale process verified.</x:v>
      </x:c>
    </x:row>
    <x:row r="44" ht="38" customHeight="1">
      <x:c r="A44" s="100" t="str">
        <x:v>Blue Station, Blue Island / Chicago MSA</x:v>
      </x:c>
      <x:c r="B44" s="100" t="str">
        <x:v>Excluded</x:v>
      </x:c>
      <x:c r="C44" s="100" t="str">
        <x:v>$22M sale closed.</x:v>
      </x:c>
    </x:row>
    <x:row r="45" ht="38" customHeight="1">
      <x:c r="A45" s="100" t="str">
        <x:v>Belle on Bev, Los Angeles</x:v>
      </x:c>
      <x:c r="B45" s="100" t="str">
        <x:v>Excluded</x:v>
      </x:c>
      <x:c r="C45" s="100" t="str">
        <x:v>Completed recapitalization; materially mixed retail, entertainment, and bar uses.</x:v>
      </x:c>
    </x:row>
    <x:row r="46" ht="38" customHeight="1">
      <x:c r="A46" s="100" t="str">
        <x:v>836–838 N. Broad, Philadelphia</x:v>
      </x:c>
      <x:c r="B46" s="100" t="str">
        <x:v>Excluded</x:v>
      </x:c>
      <x:c r="C46" s="100" t="str">
        <x:v>PHA-supported income and commercial component require regulatory and residential-income treatment confirmation.</x:v>
      </x:c>
    </x:row>
    <x:row r="47" ht="38" customHeight="1">
      <x:c r="A47" s="100" t="str">
        <x:v>Avondale Apartments, Philadelphia</x:v>
      </x:c>
      <x:c r="B47" s="100" t="str">
        <x:v>Excluded</x:v>
      </x:c>
      <x:c r="C47" s="100" t="str">
        <x:v>Income-restricted; outside primary queue.</x:v>
      </x:c>
    </x:row>
    <x:row r="48" ht="38" customHeight="1">
      <x:c r="A48" s="100" t="str">
        <x:v>727 Collins Ave., Miami Beach</x:v>
      </x:c>
      <x:c r="B48" s="100" t="str">
        <x:v>Excluded</x:v>
      </x:c>
      <x:c r="C48" s="100" t="str">
        <x:v>Hospitality master lease plus retail footprint makes it materially mixed.</x:v>
      </x:c>
    </x:row>
    <x:row r="49" ht="38" customHeight="1">
      <x:c r="A49" s="100" t="str">
        <x:v>430 &amp; 499 E. 8th St., Brooklyn</x:v>
      </x:c>
      <x:c r="B49" s="100" t="str">
        <x:v>Excluded</x:v>
      </x:c>
      <x:c r="C49" s="100" t="str">
        <x:v>Current $15M refinance is expressly rent-stabilized.</x:v>
      </x:c>
    </x:row>
    <x:row r="50" ht="38" customHeight="1">
      <x:c r="A50" s="100" t="str">
        <x:v>Prior student, RSO/affordable, TOC/HCA, mixed-use, and dormitory exclusions</x:v>
      </x:c>
      <x:c r="B50" s="100" t="str">
        <x:v>Excluded</x:v>
      </x:c>
      <x:c r="C50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7:C37"/>
  </x:mergeCells>
  <x:pageMargins left="0.7" right="0.7" top="0.75" bottom="0.75" header="0.3" footer="0.3"/>
  <x:tableParts count="3">
    <x:tablePart xmlns:r="http://schemas.openxmlformats.org/officeDocument/2006/relationships" r:id="R6e35659f46ef496a"/>
    <x:tablePart xmlns:r="http://schemas.openxmlformats.org/officeDocument/2006/relationships" r:id="Rd2a352e76b2d40cf"/>
    <x:tablePart xmlns:r="http://schemas.openxmlformats.org/officeDocument/2006/relationships" r:id="R9fe3e6f857f8464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13, 2026 | Report-only | Targeted public-source coverage; not universal MSA or statewide coverage</x:v>
      </x:c>
    </x:row>
    <x:row r="4">
      <x:c r="A4" s="238" t="str">
        <x:v>Action queue</x:v>
      </x:c>
      <x:c r="B4" s="240" t="str">
        <x:v>6 leads</x:v>
      </x:c>
      <x:c r="D4" s="238" t="str">
        <x:v>Watch 65–74</x:v>
      </x:c>
      <x:c r="E4" s="240" t="str">
        <x:v>18 leads</x:v>
      </x:c>
    </x:row>
    <x:row r="5">
      <x:c r="A5" s="238" t="str">
        <x:v>Priority 85+</x:v>
      </x:c>
      <x:c r="B5" s="240" t="str">
        <x:v>None</x:v>
      </x:c>
      <x:c r="D5" s="238" t="str">
        <x:v>Excluded</x:v>
      </x:c>
      <x:c r="E5" s="240" t="str">
        <x:v>13 items/categories</x:v>
      </x:c>
    </x:row>
    <x:row r="6">
      <x:c r="A6" s="238" t="str">
        <x:v>Qualified 75–84</x:v>
      </x:c>
      <x:c r="B6" s="240" t="str">
        <x:v>6</x:v>
      </x:c>
      <x:c r="D6" s="238" t="str">
        <x:v>$10M Gate</x:v>
      </x:c>
      <x:c r="E6" s="240" t="str">
        <x:v>Required</x:v>
      </x:c>
    </x:row>
    <x:row r="7">
      <x:c r="A7" s="238" t="str">
        <x:v>New qualified leads</x:v>
      </x:c>
      <x:c r="B7" s="240" t="str">
        <x:v>0</x:v>
      </x:c>
      <x:c r="D7" s="238" t="str">
        <x:v>Outreach</x:v>
      </x:c>
      <x:c r="E7" s="240" t="str">
        <x:v>Named-lead approval required</x:v>
      </x:c>
    </x:row>
    <x:row r="9" ht="40" customHeight="1">
      <x:c r="A9" s="249" t="str">
        <x:v>Lead ID</x:v>
      </x:c>
      <x:c r="B9" s="249" t="str">
        <x:v>Status</x:v>
      </x:c>
      <x:c r="C9" s="249" t="str">
        <x:v>Classification</x:v>
      </x:c>
      <x:c r="D9" s="249" t="str">
        <x:v>$10M Gate</x:v>
      </x:c>
      <x:c r="E9" s="249" t="str">
        <x:v>Asset / Address</x:v>
      </x:c>
      <x:c r="F9" s="249" t="str">
        <x:v>MSA</x:v>
      </x:c>
      <x:c r="G9" s="249" t="str">
        <x:v>Units</x:v>
      </x:c>
      <x:c r="H9" s="249" t="str">
        <x:v>Owner / Broker</x:v>
      </x:c>
      <x:c r="I9" s="249" t="str">
        <x:v>Observed facts</x:v>
      </x:c>
      <x:c r="J9" s="249" t="str">
        <x:v>Inference</x:v>
      </x:c>
      <x:c r="K9" s="249" t="str">
        <x:v>Counterargument</x:v>
      </x:c>
      <x:c r="L9" s="249" t="str">
        <x:v>Sale process 35</x:v>
      </x:c>
      <x:c r="M9" s="249" t="str">
        <x:v>Capital event 20</x:v>
      </x:c>
      <x:c r="N9" s="249" t="str">
        <x:v>Fit 15</x:v>
      </x:c>
      <x:c r="O9" s="249" t="str">
        <x:v>Execution 10</x:v>
      </x:c>
      <x:c r="P9" s="249" t="str">
        <x:v>Evidence 15</x:v>
      </x:c>
      <x:c r="Q9" s="249" t="str">
        <x:v>Contacts 5</x:v>
      </x:c>
      <x:c r="R9" s="249" t="str">
        <x:v>Score</x:v>
      </x:c>
      <x:c r="S9" s="249" t="str">
        <x:v>Sources / dates</x:v>
      </x:c>
      <x:c r="T9" s="249" t="str">
        <x:v>Verified public contact</x:v>
      </x:c>
      <x:c r="U9" s="249" t="str">
        <x:v>Light Tower angle</x:v>
      </x:c>
    </x:row>
    <x:row r="10" ht="100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direct listing is Active: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Confirm commercial-income split, five-bedroom lease structure, rent roll, seller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observation Oct. 13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0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direct listing remains available: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Confirm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page observation Oct. 13 | https://www.loopnet.com/Listing/1915-Park-Avenue-Los-Angeles-CA/41776924/</x:v>
      </x:c>
      <x:c r="T11" s="100" t="str">
        <x:v>Neema Ahadian (310) 909-5444; Jeffrey Estrada (310) 909-5423; Patricia Escobar, Marcus &amp; Millichap</x:v>
      </x:c>
      <x:c r="U11" s="100" t="str">
        <x:v>Sale advisory; buyer financing; senior refinance</x:v>
      </x:c>
    </x:row>
    <x:row r="12" ht="100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direct listing remains available: $15.95M ask, 18 apartments, Aug. 3 market date; $7.65M assumable Chase loan is disclosed.</x:v>
      </x:c>
      <x:c r="J12" s="100" t="str">
        <x:v>Sale process and disclosed loan-assumption feature support financing or recap analysis.</x:v>
      </x:c>
      <x:c r="K12" s="100" t="str">
        <x:v>Confirm seller authority, covenant status,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page observation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0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direct listing remains available: $11.2M, 32 apartments, 6.44% cap rate, Aug. 17 market date; listing says AB 1482 only.</x:v>
      </x:c>
      <x:c r="J13" s="100" t="str">
        <x:v>Dated marketing and operating data support buyer financing or bridge/recap analysis.</x:v>
      </x:c>
      <x:c r="K13" s="100" t="str">
        <x:v>Confirm seller authority, AB 1482 applicability,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page observation Oct. 13 | https://www.loopnet.com/Listing/2912-2924-W-141st-Plz-Gardena-CA/41773238/</x:v>
      </x:c>
      <x:c r="T13" s="100" t="str">
        <x:v>Allen Gholian, Shield Commercial, (310) 593-9868; Jonathan Nikfarjam, Shield Commercial</x:v>
      </x:c>
      <x:c r="U13" s="100" t="str">
        <x:v>Sale advisory; buyer financing; bridge; recapitalization</x:v>
      </x:c>
    </x:row>
    <x:row r="14" ht="100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direct listing remains available: $12M, 172 apartments, 98% occupancy, Jul. 22 market date.</x:v>
      </x:c>
      <x:c r="J14" s="100" t="str">
        <x:v>Buyer financing, bridge, or recapitalization potential.</x:v>
      </x:c>
      <x:c r="K14" s="100" t="str">
        <x:v>Confirm no subsidy or university master-lease exposure,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page observation Oct. 13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100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 the 44-acre, 64-building asset.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242" t="str">
        <x:v>Watch — 65–74: evidence or product gates still open</x:v>
      </x:c>
    </x:row>
    <x:row r="18" ht="40" customHeight="1">
      <x:c r="A18" s="249" t="str">
        <x:v>Lead ID</x:v>
      </x:c>
      <x:c r="B18" s="249" t="str">
        <x:v>Classification</x:v>
      </x:c>
      <x:c r="C18" s="249" t="str">
        <x:v>Asset / MSA</x:v>
      </x:c>
      <x:c r="D18" s="249" t="str">
        <x:v>Score</x:v>
      </x:c>
      <x:c r="E18" s="249" t="str">
        <x:v>Reason held</x:v>
      </x:c>
      <x:c r="F18" s="249" t="str">
        <x:v>Precise next verification step</x:v>
      </x:c>
    </x:row>
    <x:row r="19" ht="48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Tier 1-style public listing shows a current $10M, 20-unit multifamily sale, but one property carries a 421-a exemption through 2061; the affordability/restriction structure is not clear.</x:v>
      </x:c>
      <x:c r="F19" s="100" t="str">
        <x:v>Obtain OM, 421-a regulatory agreement, unit/rent schedule, restriction expiration, listing mandate, and seller authority before promotion.</x:v>
      </x:c>
    </x:row>
    <x:row r="20" ht="48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closed Sep. 28; no public sale process or documented unmet capital need.</x:v>
      </x:c>
      <x:c r="F20" s="100" t="str">
        <x:v>Confirm bridge term, extension/maturity, business-plan milestones, capital need, authority, and JSB/Torchlight dialogue.</x:v>
      </x:c>
    </x:row>
    <x:row r="21" ht="48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rent-control, income-restriction, and affordability status.</x:v>
      </x:c>
    </x:row>
    <x:row r="22" ht="48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Current primary foreclosure/receiver evidence is absent.</x:v>
      </x:c>
      <x:c r="F22" s="100" t="str">
        <x:v>Obtain Cook County docket, receiver order, complaint, payoff, and current marketing status.</x:v>
      </x:c>
    </x:row>
    <x:row r="23" ht="48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Historical CDFI/project evidence requires covenant and title clearance.</x:v>
      </x:c>
      <x:c r="F23" s="100" t="str">
        <x:v>Check recorded affordability covenant, title, HCD records, and deed restrictions.</x:v>
      </x:c>
    </x:row>
    <x:row r="24" ht="48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shows contingent, not active sale.</x:v>
      </x:c>
      <x:c r="F24" s="100" t="str">
        <x:v>Monitor close status and verify seller authority, restrictions, rent roll, and financing/lender catalyst.</x:v>
      </x:c>
    </x:row>
    <x:row r="25" ht="48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seller authority.</x:v>
      </x:c>
    </x:row>
    <x:row r="26" ht="48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48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remain unresolved.</x:v>
      </x:c>
      <x:c r="F27" s="100" t="str">
        <x:v>Obtain total ask, rent roll, residential-income split, restrictions, and named broker.</x:v>
      </x:c>
    </x:row>
    <x:row r="28" ht="48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remain inconsistent.</x:v>
      </x:c>
      <x:c r="F28" s="100" t="str">
        <x:v>Obtain OM, lease/rent roll, 40-versus-45-unit reconciliation, and broker mandate.</x:v>
      </x:c>
    </x:row>
    <x:row r="29" ht="48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48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48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 confirmation, rent roll, and restriction check.</x:v>
      </x:c>
    </x:row>
    <x:row r="32" ht="48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Current availability and regulatory status lack corroboration.</x:v>
      </x:c>
      <x:c r="F32" s="100" t="str">
        <x:v>Obtain live broker mandate, RSO/affordability clearance, price, and rent roll.</x:v>
      </x:c>
    </x:row>
    <x:row r="33" ht="48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are unclear.</x:v>
      </x:c>
      <x:c r="F33" s="100" t="str">
        <x:v>Obtain HPD/DHCR records, current OM, address list, price, and broker authority.</x:v>
      </x:c>
    </x:row>
    <x:row r="34" ht="48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Current listing needs RSO determination.</x:v>
      </x:c>
      <x:c r="F34" s="100" t="str">
        <x:v>Verify HCIDLA RSO status, title/covenants, and current broker mandate.</x:v>
      </x:c>
    </x:row>
    <x:row r="35" ht="48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a dated current listing record.</x:v>
      </x:c>
      <x:c r="F35" s="100" t="str">
        <x:v>Obtain dated exclusive/MLS, seller authority, RSO/covenant status, and rent roll.</x:v>
      </x:c>
    </x:row>
    <x:row r="36" ht="48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remain unresolved.</x:v>
      </x:c>
      <x:c r="F36" s="100" t="str">
        <x:v>Obtain current mandate, CO, RSO determination, title/covenants, and rent roll.</x:v>
      </x:c>
    </x:row>
    <x:row r="38">
      <x:c r="A38" s="244" t="str">
        <x:v>Excluded and coverage gaps</x:v>
      </x:c>
    </x:row>
    <x:row r="39" ht="40" customHeight="1">
      <x:c r="A39" s="249" t="str">
        <x:v>Item</x:v>
      </x:c>
      <x:c r="B39" s="249" t="str">
        <x:v>Classification</x:v>
      </x:c>
      <x:c r="C39" s="249" t="str">
        <x:v>Exclusion reason</x:v>
      </x:c>
    </x:row>
    <x:row r="40" ht="42" customHeight="1">
      <x:c r="A40" s="100" t="str">
        <x:v>New Miami search hits</x:v>
      </x:c>
      <x:c r="B40" s="100" t="str">
        <x:v>Excluded</x:v>
      </x:c>
      <x:c r="C40" s="100" t="str">
        <x:v>690 3rd St. is expressly a covered land/redevelopment play; 45 NW 22nd Ave. is retail with restaurant/car-wash components. Neither is conventional rental multifamily.</x:v>
      </x:c>
    </x:row>
    <x:row r="41" ht="42" customHeight="1">
      <x:c r="A41" s="100" t="str">
        <x:v>New NYC search hit</x:v>
      </x:c>
      <x:c r="B41" s="100" t="str">
        <x:v>Watch</x:v>
      </x:c>
      <x:c r="C41" s="100" t="str">
        <x:v>99 Dumont &amp; 499 Pennsylvania is held above, not promoted, pending 421-a restriction clarity.</x:v>
      </x:c>
    </x:row>
    <x:row r="42" ht="42" customHeight="1">
      <x:c r="A42" s="100" t="str">
        <x:v>New LA search hits</x:v>
      </x:c>
      <x:c r="B42" s="100" t="str">
        <x:v>Excluded</x:v>
      </x:c>
      <x:c r="C42" s="100" t="str">
        <x:v>3217 S Central is explicitly TOC affordable; 743–749 Gramercy is uncompleted new construction. Neither clears the primary queue.</x:v>
      </x:c>
    </x:row>
    <x:row r="43" ht="42" customHeight="1">
      <x:c r="A43" s="100" t="str">
        <x:v>New Chicago search hits</x:v>
      </x:c>
      <x:c r="B43" s="100" t="str">
        <x:v>Excluded</x:v>
      </x:c>
      <x:c r="C43" s="100" t="str">
        <x:v>Greater Chatham Portfolio’s public excerpt identifies availability but no current ask, debt, or regulatory clearance; no promotion.</x:v>
      </x:c>
    </x:row>
    <x:row r="44" ht="42" customHeight="1">
      <x:c r="A44" s="100" t="str">
        <x:v>Reside on Jackson, Chicago</x:v>
      </x:c>
      <x:c r="B44" s="100" t="str">
        <x:v>Excluded</x:v>
      </x:c>
      <x:c r="C44" s="100" t="str">
        <x:v>$24.7M five-year Fannie refinance is closed; no public sale process or unresolved financing catalyst.</x:v>
      </x:c>
    </x:row>
    <x:row r="45" ht="42" customHeight="1">
      <x:c r="A45" s="100" t="str">
        <x:v>Verso Luxury, Davenport / Orlando MSA</x:v>
      </x:c>
      <x:c r="B45" s="100" t="str">
        <x:v>Excluded</x:v>
      </x:c>
      <x:c r="C45" s="100" t="str">
        <x:v>$57M acquisition and $40.5M loan are closed; no current sale process or capital need verified.</x:v>
      </x:c>
    </x:row>
    <x:row r="46" ht="42" customHeight="1">
      <x:c r="A46" s="100" t="str">
        <x:v>The Marling at Town Creek, Leland / Wilmington MSA</x:v>
      </x:c>
      <x:c r="B46" s="100" t="str">
        <x:v>Excluded</x:v>
      </x:c>
      <x:c r="C46" s="100" t="str">
        <x:v>$57.7M acquisition closed; no current sale process verified.</x:v>
      </x:c>
    </x:row>
    <x:row r="47" ht="42" customHeight="1">
      <x:c r="A47" s="100" t="str">
        <x:v>Blue Station, Blue Island / Chicago MSA</x:v>
      </x:c>
      <x:c r="B47" s="100" t="str">
        <x:v>Excluded</x:v>
      </x:c>
      <x:c r="C47" s="100" t="str">
        <x:v>$22M sale closed.</x:v>
      </x:c>
    </x:row>
    <x:row r="48" ht="42" customHeight="1">
      <x:c r="A48" s="100" t="str">
        <x:v>Belle on Bev, Los Angeles</x:v>
      </x:c>
      <x:c r="B48" s="100" t="str">
        <x:v>Excluded</x:v>
      </x:c>
      <x:c r="C48" s="100" t="str">
        <x:v>Completed recapitalization; materially mixed retail, entertainment, and bar uses.</x:v>
      </x:c>
    </x:row>
    <x:row r="49" ht="42" customHeight="1">
      <x:c r="A49" s="100" t="str">
        <x:v>836–838 N. Broad, Philadelphia</x:v>
      </x:c>
      <x:c r="B49" s="100" t="str">
        <x:v>Excluded</x:v>
      </x:c>
      <x:c r="C49" s="100" t="str">
        <x:v>PHA-supported income and commercial component require regulatory and residential-income treatment confirmation.</x:v>
      </x:c>
    </x:row>
    <x:row r="50" ht="42" customHeight="1">
      <x:c r="A50" s="100" t="str">
        <x:v>Avondale Apartments, Philadelphia</x:v>
      </x:c>
      <x:c r="B50" s="100" t="str">
        <x:v>Excluded</x:v>
      </x:c>
      <x:c r="C50" s="100" t="str">
        <x:v>Income-restricted; outside primary queue.</x:v>
      </x:c>
    </x:row>
    <x:row r="51" ht="42" customHeight="1">
      <x:c r="A51" s="100" t="str">
        <x:v>727 Collins Ave., Miami Beach</x:v>
      </x:c>
      <x:c r="B51" s="100" t="str">
        <x:v>Excluded</x:v>
      </x:c>
      <x:c r="C51" s="100" t="str">
        <x:v>Hospitality master lease plus retail footprint makes it materially mixed.</x:v>
      </x:c>
    </x:row>
    <x:row r="52" ht="42" customHeight="1">
      <x:c r="A52" s="100" t="str">
        <x:v>430 &amp; 499 E. 8th St., Brooklyn</x:v>
      </x:c>
      <x:c r="B52" s="100" t="str">
        <x:v>Excluded</x:v>
      </x:c>
      <x:c r="C52" s="100" t="str">
        <x:v>Current $15M refinance is expressly rent-stabilized.</x:v>
      </x:c>
    </x:row>
    <x:row r="53" ht="42" customHeight="1">
      <x:c r="A53" s="100" t="str">
        <x:v>Coverage gaps</x:v>
      </x:c>
      <x:c r="B53" s="100" t="str">
        <x:v>Not covered</x:v>
      </x:c>
      <x:c r="C53" s="100" t="str">
        <x:v>Targeted public-source sweep only. Several named Florida and North Carolina MSAs produced no newly verified, eligible $10M+ lead; no statewide or universal inventory coverage is implied.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9d0e9070bbd244d1"/>
    <x:tablePart xmlns:r="http://schemas.openxmlformats.org/officeDocument/2006/relationships" r:id="Rb0a8562025cc4f25"/>
    <x:tablePart xmlns:r="http://schemas.openxmlformats.org/officeDocument/2006/relationships" r:id="Rd34a6234a6ec49c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4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14, 2026 | Report-only | Targeted public-source coverage; not universal MSA or statewide coverage</x:v>
      </x:c>
    </x:row>
    <x:row r="4">
      <x:c r="A4" s="251" t="str">
        <x:v>Action queue</x:v>
      </x:c>
      <x:c r="B4" s="253" t="str">
        <x:v>6 continuing leads</x:v>
      </x:c>
      <x:c r="D4" s="251" t="str">
        <x:v>Watch 65–74</x:v>
      </x:c>
      <x:c r="E4" s="253" t="str">
        <x:v>18 leads</x:v>
      </x:c>
    </x:row>
    <x:row r="5">
      <x:c r="A5" s="251" t="str">
        <x:v>Priority 85+</x:v>
      </x:c>
      <x:c r="B5" s="253" t="str">
        <x:v>None</x:v>
      </x:c>
      <x:c r="D5" s="251" t="str">
        <x:v>Excluded</x:v>
      </x:c>
      <x:c r="E5" s="253" t="str">
        <x:v>Retained + current screens</x:v>
      </x:c>
    </x:row>
    <x:row r="6">
      <x:c r="A6" s="251" t="str">
        <x:v>Qualified 75–84</x:v>
      </x:c>
      <x:c r="B6" s="253" t="str">
        <x:v>6</x:v>
      </x:c>
      <x:c r="D6" s="251" t="str">
        <x:v>$10M Gate</x:v>
      </x:c>
      <x:c r="E6" s="253" t="str">
        <x:v>Required</x:v>
      </x:c>
    </x:row>
    <x:row r="7">
      <x:c r="A7" s="251" t="str">
        <x:v>New qualified leads</x:v>
      </x:c>
      <x:c r="B7" s="253" t="str">
        <x:v>0</x:v>
      </x:c>
      <x:c r="D7" s="251" t="str">
        <x:v>Outreach</x:v>
      </x:c>
      <x:c r="E7" s="253" t="str">
        <x:v>Named-lead approval required</x:v>
      </x:c>
    </x:row>
    <x:row r="9" ht="40" customHeight="1">
      <x:c r="A9" s="262" t="str">
        <x:v>Lead ID</x:v>
      </x:c>
      <x:c r="B9" s="262" t="str">
        <x:v>Status</x:v>
      </x:c>
      <x:c r="C9" s="262" t="str">
        <x:v>Classification</x:v>
      </x:c>
      <x:c r="D9" s="262" t="str">
        <x:v>$10M Gate</x:v>
      </x:c>
      <x:c r="E9" s="262" t="str">
        <x:v>Asset / Address</x:v>
      </x:c>
      <x:c r="F9" s="262" t="str">
        <x:v>MSA</x:v>
      </x:c>
      <x:c r="G9" s="262" t="str">
        <x:v>Units</x:v>
      </x:c>
      <x:c r="H9" s="262" t="str">
        <x:v>Owner / Broker</x:v>
      </x:c>
      <x:c r="I9" s="262" t="str">
        <x:v>Observed facts</x:v>
      </x:c>
      <x:c r="J9" s="262" t="str">
        <x:v>Inference</x:v>
      </x:c>
      <x:c r="K9" s="262" t="str">
        <x:v>Counterargument</x:v>
      </x:c>
      <x:c r="L9" s="262" t="str">
        <x:v>Sale process 35</x:v>
      </x:c>
      <x:c r="M9" s="262" t="str">
        <x:v>Capital event 20</x:v>
      </x:c>
      <x:c r="N9" s="262" t="str">
        <x:v>Fit 15</x:v>
      </x:c>
      <x:c r="O9" s="262" t="str">
        <x:v>Execution 10</x:v>
      </x:c>
      <x:c r="P9" s="262" t="str">
        <x:v>Evidence 15</x:v>
      </x:c>
      <x:c r="Q9" s="262" t="str">
        <x:v>Contacts 5</x:v>
      </x:c>
      <x:c r="R9" s="262" t="str">
        <x:v>Score</x:v>
      </x:c>
      <x:c r="S9" s="262" t="str">
        <x:v>Sources / dates</x:v>
      </x:c>
      <x:c r="T9" s="262" t="str">
        <x:v>Verified public contact</x:v>
      </x:c>
      <x:c r="U9" s="262" t="str">
        <x:v>Light Tower angle</x:v>
      </x:c>
    </x:row>
    <x:row r="10" ht="108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was Active on Oct. 13: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availability last observed Oct. 13; Oct. 14 live fetch approval-gated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08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last observed available Oct. 13: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availability last observed Oct. 13; Oct. 14 live fetch approval-gated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08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last observed available Oct. 13: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availability last observed Oct. 13; Oct. 14 live fetch approval-gated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08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Los Angeles</x:v>
      </x:c>
      <x:c r="G13" s="102" t="n">
        <x:v>32</x:v>
      </x:c>
      <x:c r="H13" s="100" t="str">
        <x:v>Shield Commercial Real Estate</x:v>
      </x:c>
      <x:c r="I13" s="100" t="str">
        <x:v>Tier 1 offering last observed available Oct. 13: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availability last observed Oct. 13; Oct. 14 live fetch approval-gated | https://www.loopnet.com/Listing/2912-2924-W-141st-Plz-Gardena-CA/41773238/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08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offering last observed available Oct. 13: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availability last observed Oct. 13; Oct. 14 live fetch approval-gated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08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marketing. Verified 2019 sale value: $141M.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public-search corroboration Oct. 13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55" t="str">
        <x:v>Watch — 65–74: evidence, process, or product gates still open</x:v>
      </x:c>
    </x:row>
    <x:row r="18" ht="40" customHeight="1">
      <x:c r="A18" s="262" t="str">
        <x:v>Lead ID</x:v>
      </x:c>
      <x:c r="B18" s="262" t="str">
        <x:v>Classification</x:v>
      </x:c>
      <x:c r="C18" s="262" t="str">
        <x:v>Asset / MSA</x:v>
      </x:c>
      <x:c r="D18" s="262" t="str">
        <x:v>Score</x:v>
      </x:c>
      <x:c r="E18" s="262" t="str">
        <x:v>Reason held</x:v>
      </x:c>
      <x:c r="F18" s="262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57" t="str">
        <x:v>Excluded and coverage gaps</x:v>
      </x:c>
    </x:row>
    <x:row r="39" ht="40" customHeight="1">
      <x:c r="A39" s="262" t="str">
        <x:v>Item</x:v>
      </x:c>
      <x:c r="B39" s="262" t="str">
        <x:v>Classification</x:v>
      </x:c>
      <x:c r="C39" s="262" t="str">
        <x:v>Exclusion / coverage finding</x:v>
      </x:c>
    </x:row>
    <x:row r="40" ht="48" customHeight="1">
      <x:c r="A40" s="100" t="str">
        <x:v>Oct. 14 public-source screen</x:v>
      </x:c>
      <x:c r="B40" s="100" t="str">
        <x:v>No promotion</x:v>
      </x:c>
      <x:c r="C40" s="100" t="str">
        <x:v>Fresh targeted searches produced no credible new $10M+ conventional multifamily sale or capital-event lead; generic, closed, mixed-use, and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Returned public hits were generic and insufficient for price/process/product gating.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One Brooklyn public listing remains Watch pending 421-a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3217 S Central is explicitly TOC affordable; 743–749 Gramercy is uncompleted new construction.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Greater Chatham Portfolio lacks a verified current ask/debt and regulatory clearance.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d1ecee8d8400405b"/>
    <x:tablePart xmlns:r="http://schemas.openxmlformats.org/officeDocument/2006/relationships" r:id="Rf144256035e149b0"/>
    <x:tablePart xmlns:r="http://schemas.openxmlformats.org/officeDocument/2006/relationships" r:id="R55e6479f0f2e4cc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2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15, 2026 | Report-only | Targeted named-MSA public-source coverage; not universal or statewide</x:v>
      </x:c>
    </x:row>
    <x:row r="4">
      <x:c r="A4" s="264" t="str">
        <x:v>Action queue</x:v>
      </x:c>
      <x:c r="B4" s="266" t="str">
        <x:v>6 continuing leads</x:v>
      </x:c>
      <x:c r="D4" s="264" t="str">
        <x:v>Watch 65–74</x:v>
      </x:c>
      <x:c r="E4" s="266" t="str">
        <x:v>18 leads</x:v>
      </x:c>
    </x:row>
    <x:row r="5">
      <x:c r="A5" s="264" t="str">
        <x:v>Priority 85+</x:v>
      </x:c>
      <x:c r="B5" s="266" t="str">
        <x:v>None</x:v>
      </x:c>
      <x:c r="D5" s="264" t="str">
        <x:v>Excluded</x:v>
      </x:c>
      <x:c r="E5" s="266" t="str">
        <x:v>Retained + current screens</x:v>
      </x:c>
    </x:row>
    <x:row r="6">
      <x:c r="A6" s="264" t="str">
        <x:v>Qualified 75–84</x:v>
      </x:c>
      <x:c r="B6" s="266" t="str">
        <x:v>6</x:v>
      </x:c>
      <x:c r="D6" s="264" t="str">
        <x:v>$10M Gate</x:v>
      </x:c>
      <x:c r="E6" s="266" t="str">
        <x:v>Required</x:v>
      </x:c>
    </x:row>
    <x:row r="7">
      <x:c r="A7" s="264" t="str">
        <x:v>New qualified leads</x:v>
      </x:c>
      <x:c r="B7" s="266" t="str">
        <x:v>0</x:v>
      </x:c>
      <x:c r="D7" s="264" t="str">
        <x:v>Outreach</x:v>
      </x:c>
      <x:c r="E7" s="266" t="str">
        <x:v>Named-lead approval required</x:v>
      </x:c>
    </x:row>
    <x:row r="9" ht="40" customHeight="1">
      <x:c r="A9" s="275" t="str">
        <x:v>Lead ID</x:v>
      </x:c>
      <x:c r="B9" s="275" t="str">
        <x:v>Status</x:v>
      </x:c>
      <x:c r="C9" s="275" t="str">
        <x:v>Classification</x:v>
      </x:c>
      <x:c r="D9" s="275" t="str">
        <x:v>$10M Gate</x:v>
      </x:c>
      <x:c r="E9" s="275" t="str">
        <x:v>Asset / Address</x:v>
      </x:c>
      <x:c r="F9" s="275" t="str">
        <x:v>MSA</x:v>
      </x:c>
      <x:c r="G9" s="275" t="str">
        <x:v>Units</x:v>
      </x:c>
      <x:c r="H9" s="275" t="str">
        <x:v>Owner / Broker</x:v>
      </x:c>
      <x:c r="I9" s="275" t="str">
        <x:v>Observed facts</x:v>
      </x:c>
      <x:c r="J9" s="275" t="str">
        <x:v>Inference</x:v>
      </x:c>
      <x:c r="K9" s="275" t="str">
        <x:v>Counterargument</x:v>
      </x:c>
      <x:c r="L9" s="275" t="str">
        <x:v>Sale process 35</x:v>
      </x:c>
      <x:c r="M9" s="275" t="str">
        <x:v>Capital event 20</x:v>
      </x:c>
      <x:c r="N9" s="275" t="str">
        <x:v>Fit 15</x:v>
      </x:c>
      <x:c r="O9" s="275" t="str">
        <x:v>Execution 10</x:v>
      </x:c>
      <x:c r="P9" s="275" t="str">
        <x:v>Evidence 15</x:v>
      </x:c>
      <x:c r="Q9" s="275" t="str">
        <x:v>Contacts 5</x:v>
      </x:c>
      <x:c r="R9" s="275" t="str">
        <x:v>Score</x:v>
      </x:c>
      <x:c r="S9" s="275" t="str">
        <x:v>Sources / dates</x:v>
      </x:c>
      <x:c r="T9" s="275" t="str">
        <x:v>Verified public contact</x:v>
      </x:c>
      <x:c r="U9" s="275" t="str">
        <x:v>Light Tower angle</x:v>
      </x:c>
    </x:row>
    <x:row r="10" ht="11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returns in current public search: $40.2M, 309 apartments,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15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1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returns in current public search: 2025-built, 36-unit conventional apartment offering at $18.0M; Aug. 17 market date.</x:v>
      </x:c>
      <x:c r="J11" s="100" t="str">
        <x:v>Near-term sale-advisory and acquisition-financing opportunity.</x:v>
      </x:c>
      <x:c r="K11" s="100" t="str">
        <x:v>Verify restrictions, CO, seller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15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1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Tier 1 offering returns in current public search: $15.95M ask, 18 apartments, Aug. 3 market date; $7.65M assumable Chase loan disclosed.</x:v>
      </x:c>
      <x:c r="J12" s="100" t="str">
        <x:v>Sale process and loan-assumption feature support financing or recap analysis.</x:v>
      </x:c>
      <x:c r="K12" s="100" t="str">
        <x:v>Verify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Tier 1 | Aug. 3 market date; current search Oct. 15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1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Tier 1 offering returns in current public search: $11.2M, 32 apartments, 6.44% cap rate, Aug. 17 market date; AB 1482-only disclosure.</x:v>
      </x:c>
      <x:c r="J13" s="100" t="str">
        <x:v>Dated marketing supports buyer financing, bridge, or recapitalization analysis.</x:v>
      </x:c>
      <x:c r="K13" s="100" t="str">
        <x:v>Verify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Tier 1 | Aug. 17 market date; current search Oct. 15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1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offering returns in current public search as currently available: $12M, 172 apartments, 98% occupancy, Jul. 22 market date.</x:v>
      </x:c>
      <x:c r="J14" s="100" t="str">
        <x:v>Buyer financing, bridge, or recapitalization potential.</x:v>
      </x:c>
      <x:c r="K14" s="100" t="str">
        <x:v>Verify no subsidy or university 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Jul. 22 market date; current search Oct. 15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1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support AJH's sale process and Newmark marketing; fresh Oct. 15 results continue to identify AJH sale intent, 1,068 units and 2019 $141M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31; CRE Direct Sep. 1; Philadelphia Business Journal / Bisnow current public search Oct. 15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68" t="str">
        <x:v>Watch — 65–74: evidence, process, or product gates still open</x:v>
      </x:c>
    </x:row>
    <x:row r="18" ht="40" customHeight="1">
      <x:c r="A18" s="275" t="str">
        <x:v>Lead ID</x:v>
      </x:c>
      <x:c r="B18" s="275" t="str">
        <x:v>Classification</x:v>
      </x:c>
      <x:c r="C18" s="275" t="str">
        <x:v>Asset / MSA</x:v>
      </x:c>
      <x:c r="D18" s="275" t="str">
        <x:v>Score</x:v>
      </x:c>
      <x:c r="E18" s="275" t="str">
        <x:v>Reason held</x:v>
      </x:c>
      <x:c r="F18" s="275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units'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70" t="str">
        <x:v>Excluded and coverage gaps</x:v>
      </x:c>
    </x:row>
    <x:row r="39" ht="40" customHeight="1">
      <x:c r="A39" s="275" t="str">
        <x:v>Item</x:v>
      </x:c>
      <x:c r="B39" s="275" t="str">
        <x:v>Classification</x:v>
      </x:c>
      <x:c r="C39" s="275" t="str">
        <x:v>Exclusion / coverage finding</x:v>
      </x:c>
    </x:row>
    <x:row r="40" ht="48" customHeight="1">
      <x:c r="A40" s="100" t="str">
        <x:v>Oct. 15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The $238M Landmark South refinance remains Watch because no public capital need or sale process was identified.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Excluded</x:v>
      </x:c>
      <x:c r="C43" s="100" t="str">
        <x:v>No new qualified conventional $10M+ candidate. Affordable, under-construction, or incomplete records remain out.</x:v>
      </x:c>
    </x:row>
    <x:row r="44" ht="48" customHeight="1">
      <x:c r="A44" s="100" t="str">
        <x:v>Chicago screen</x:v>
      </x:c>
      <x:c r="B44" s="100" t="str">
        <x:v>Excluded</x:v>
      </x:c>
      <x:c r="C44" s="100" t="str">
        <x:v>Current results were closed sales, generic inventory, or incomplete records; none cleared mandate, price/debt, product, and recency gates.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923e498f54a74310"/>
    <x:tablePart xmlns:r="http://schemas.openxmlformats.org/officeDocument/2006/relationships" r:id="Ra1f25aa18a1a45e0"/>
    <x:tablePart xmlns:r="http://schemas.openxmlformats.org/officeDocument/2006/relationships" r:id="Rdeaf7b96803145ea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16, 2026 | Report-only | Targeted named-MSA public-source coverage; not universal or statewide</x:v>
      </x:c>
    </x:row>
    <x:row r="4">
      <x:c r="A4" s="277" t="str">
        <x:v>Action queue</x:v>
      </x:c>
      <x:c r="B4" s="279" t="str">
        <x:v>6 continuing leads</x:v>
      </x:c>
      <x:c r="D4" s="277" t="str">
        <x:v>Watch 65–74</x:v>
      </x:c>
      <x:c r="E4" s="279" t="str">
        <x:v>18 leads</x:v>
      </x:c>
    </x:row>
    <x:row r="5">
      <x:c r="A5" s="277" t="str">
        <x:v>Priority 85+</x:v>
      </x:c>
      <x:c r="B5" s="279" t="str">
        <x:v>None</x:v>
      </x:c>
      <x:c r="D5" s="277" t="str">
        <x:v>Excluded</x:v>
      </x:c>
      <x:c r="E5" s="279" t="str">
        <x:v>Retained + current screens</x:v>
      </x:c>
    </x:row>
    <x:row r="6">
      <x:c r="A6" s="277" t="str">
        <x:v>Qualified 75–84</x:v>
      </x:c>
      <x:c r="B6" s="279" t="str">
        <x:v>6</x:v>
      </x:c>
      <x:c r="D6" s="277" t="str">
        <x:v>$10M Gate</x:v>
      </x:c>
      <x:c r="E6" s="279" t="str">
        <x:v>Required</x:v>
      </x:c>
    </x:row>
    <x:row r="7">
      <x:c r="A7" s="277" t="str">
        <x:v>New qualified leads</x:v>
      </x:c>
      <x:c r="B7" s="279" t="str">
        <x:v>0</x:v>
      </x:c>
      <x:c r="D7" s="277" t="str">
        <x:v>Outreach</x:v>
      </x:c>
      <x:c r="E7" s="279" t="str">
        <x:v>Named-lead approval required</x:v>
      </x:c>
    </x:row>
    <x:row r="9" ht="40" customHeight="1">
      <x:c r="A9" s="288" t="str">
        <x:v>Lead ID</x:v>
      </x:c>
      <x:c r="B9" s="288" t="str">
        <x:v>Status</x:v>
      </x:c>
      <x:c r="C9" s="288" t="str">
        <x:v>Classification</x:v>
      </x:c>
      <x:c r="D9" s="288" t="str">
        <x:v>$10M Gate</x:v>
      </x:c>
      <x:c r="E9" s="288" t="str">
        <x:v>Asset / Address</x:v>
      </x:c>
      <x:c r="F9" s="288" t="str">
        <x:v>MSA</x:v>
      </x:c>
      <x:c r="G9" s="288" t="str">
        <x:v>Units</x:v>
      </x:c>
      <x:c r="H9" s="288" t="str">
        <x:v>Owner / Broker</x:v>
      </x:c>
      <x:c r="I9" s="288" t="str">
        <x:v>Observed facts</x:v>
      </x:c>
      <x:c r="J9" s="288" t="str">
        <x:v>Inference</x:v>
      </x:c>
      <x:c r="K9" s="288" t="str">
        <x:v>Counterargument</x:v>
      </x:c>
      <x:c r="L9" s="288" t="str">
        <x:v>Sale process 35</x:v>
      </x:c>
      <x:c r="M9" s="288" t="str">
        <x:v>Capital event 20</x:v>
      </x:c>
      <x:c r="N9" s="288" t="str">
        <x:v>Fit 15</x:v>
      </x:c>
      <x:c r="O9" s="288" t="str">
        <x:v>Execution 10</x:v>
      </x:c>
      <x:c r="P9" s="288" t="str">
        <x:v>Evidence 15</x:v>
      </x:c>
      <x:c r="Q9" s="288" t="str">
        <x:v>Contacts 5</x:v>
      </x:c>
      <x:c r="R9" s="288" t="str">
        <x:v>Score</x:v>
      </x:c>
      <x:c r="S9" s="288" t="str">
        <x:v>Sources / dates</x:v>
      </x:c>
      <x:c r="T9" s="288" t="str">
        <x:v>Verified public contact</x:v>
      </x:c>
      <x:c r="U9" s="288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Apartments at 1220 and 1254, 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in Oct. 16 targeted public search: 291-unit Apartments at 1220 component reported 95% occupied with approximately $1,119 in-place monthly rent; prior direct offering states $40.2M / 309 apartments / 8,130 SF ground-floor commercial; listed Aug. 31.</x:v>
      </x:c>
      <x:c r="J10" s="100" t="str">
        <x:v>Named-broker sale process supports sale advisory, buyer financing, bridge, preferred equity, or recapitalization review.</x:v>
      </x:c>
      <x:c r="K10" s="100" t="str">
        <x:v>Verify commercial-income split, five-bedroom lease structure, rent roll, authority, restrictions, and adjacent-parcel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current search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LoopNet offering returned in Oct. 16 public search. Search result identifies the Park.1915 OM and 2025 financial-summary attachments; prior direct observation records $18.0M ask, 36 units, and Aug. 17 market date.</x:v>
      </x:c>
      <x:c r="J11" s="100" t="str">
        <x:v>Near-term sale-advisory and acquisition-financing opportunity.</x:v>
      </x:c>
      <x:c r="K11" s="100" t="str">
        <x:v>Live-page fetch requires action-time approval; confirm restrictions, CO, seller authority, rent roll, and 2025 results before engagement.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Aug. 17 market date; current search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ask, 18 apartments, Aug. 3 market date, $7.65M assumable Chase loan. Oct. 16 direct-page fetch was approval-gated; no contrary status evidence found in today’s targeted screen.</x:v>
      </x:c>
      <x:c r="J12" s="100" t="str">
        <x:v>Sale process and loan-assumption feature support financing or recap analysis.</x:v>
      </x:c>
      <x:c r="K12" s="100" t="str">
        <x:v>Do not treat prior availability as a fresh live-page verification; confirm authority, covenants, rent roll, loan-transfer terms, and debt.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observed Oct. 13; fetch approval-gated Oct. 16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ask, 32 apartments, 6.44% cap rate, Aug. 17 market date, AB 1482-only disclosure. Oct. 16 direct-page fetch was approval-gated; no contrary status evidence found in today’s targeted screen.</x:v>
      </x:c>
      <x:c r="J13" s="100" t="str">
        <x:v>Dated marketing supports buyer financing, bridge, or recapitalization analysis.</x:v>
      </x:c>
      <x:c r="K13" s="100" t="str">
        <x:v>Confirm current exclusive, authority, AB 1482 scope, title, rent roll, and renovations before engagement.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observed Oct. 13; fetch approval-gated Oct. 16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LoopNet offering returned in Oct. 16 public search; prior direct offering records $12M, 172 apartments, 98% occupancy, and Jul. 22 market date. Current public rental records corroborate operating apartment use.</x:v>
      </x:c>
      <x:c r="J14" s="100" t="str">
        <x:v>Buyer financing, bridge, or recapitalization potential.</x:v>
      </x:c>
      <x:c r="K14" s="100" t="str">
        <x:v>Search excerpt does not prove same-day sale availability; confirm no subsidy/university master lease,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current search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Tier 2 reports plus Oct. 16 public search identify AJH’s sale intent, Newmark’s marketing role, 1,068 units, and the verified $141M 2019 portfolio value.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plan; current asking price is not public.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Philadelphia Business Journal Tier 2 | Aug. 30–31; current search Oct. 16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81" t="str">
        <x:v>Watch — 65–74: evidence, process, or product gates still open</x:v>
      </x:c>
    </x:row>
    <x:row r="18" ht="40" customHeight="1">
      <x:c r="A18" s="288" t="str">
        <x:v>Lead ID</x:v>
      </x:c>
      <x:c r="B18" s="288" t="str">
        <x:v>Classification</x:v>
      </x:c>
      <x:c r="C18" s="288" t="str">
        <x:v>Asset / MSA</x:v>
      </x:c>
      <x:c r="D18" s="288" t="str">
        <x:v>Score</x:v>
      </x:c>
      <x:c r="E18" s="288" t="str">
        <x:v>Reason held</x:v>
      </x:c>
      <x:c r="F18" s="288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Ave. &amp; 499 Pennsylvania Ave., Brooklyn / NYC</x:v>
      </x:c>
      <x:c r="D19" s="100" t="n">
        <x:v>70</x:v>
      </x:c>
      <x:c r="E19" s="100" t="str">
        <x:v>Current $10M, 20-unit public listing includes a 421-a exemption through 2061; restriction status unresolved.</x:v>
      </x:c>
      <x:c r="F19" s="100" t="str">
        <x:v>Obtain OM, 421-a agreement, unit/rent schedule, restriction expiration, mandate, and seller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 is verified; no public sale process or unmet capital need.</x:v>
      </x:c>
      <x:c r="F20" s="100" t="str">
        <x:v>Confirm term,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unexplained restriction status.</x:v>
      </x:c>
      <x:c r="F21" s="100" t="str">
        <x:v>Obtain OM and recorded covenants; reconcile all units’ rent-control and affordability status.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affordability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 status and verify seller authority, restrictions, rent roll, and financing/lender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current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Total ask, product split, and restrictions unresolved.</x:v>
      </x:c>
      <x:c r="F27" s="100" t="str">
        <x:v>Obtain total ask, rent roll, residential-income split, restrictions, and named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current availability.</x:v>
      </x:c>
      <x:c r="F29" s="100" t="str">
        <x:v>Obtain current exclusive, T-12, rent roll, and seller-authority confirmation.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insufficiently recent.</x:v>
      </x:c>
      <x:c r="F31" s="100" t="str">
        <x:v>Obtain current listing agreement, units/price confirmation,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current sale process unclear.</x:v>
      </x:c>
      <x:c r="F33" s="100" t="str">
        <x:v>Obtain HPD/DHCR records, current OM, address list,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occupancy/regulatory evidence unresolved.</x:v>
      </x:c>
      <x:c r="F36" s="100" t="str">
        <x:v>Obtain current mandate, CO, RSO determination, title/covenants, and rent roll.</x:v>
      </x:c>
    </x:row>
    <x:row r="38">
      <x:c r="A38" s="283" t="str">
        <x:v>Excluded and coverage gaps</x:v>
      </x:c>
    </x:row>
    <x:row r="39" ht="40" customHeight="1">
      <x:c r="A39" s="288" t="str">
        <x:v>Item</x:v>
      </x:c>
      <x:c r="B39" s="288" t="str">
        <x:v>Classification</x:v>
      </x:c>
      <x:c r="C39" s="288" t="str">
        <x:v>Exclusion / coverage finding</x:v>
      </x:c>
    </x:row>
    <x:row r="40" ht="48" customHeight="1">
      <x:c r="A40" s="100" t="str">
        <x:v>Oct. 16 public-source screen</x:v>
      </x:c>
      <x:c r="B40" s="100" t="str">
        <x:v>No promotion</x:v>
      </x:c>
      <x:c r="C40" s="100" t="str">
        <x:v>Fresh targeted screens produced no credible new $10M+ conventional multifamily sale or capital-event lead. Generic, closed, mixed-use, development, hospitality, or incomplete hits were not inferred into the queue.</x:v>
      </x:c>
    </x:row>
    <x:row r="41" ht="48" customHeight="1">
      <x:c r="A41" s="100" t="str">
        <x:v>Miami / Florida screen</x:v>
      </x:c>
      <x:c r="B41" s="100" t="str">
        <x:v>Coverage gap</x:v>
      </x:c>
      <x:c r="C41" s="100" t="str">
        <x:v>No newly verified qualified lead. Search results included hotel/hospitality transactions, which are excluded.</x:v>
      </x:c>
    </x:row>
    <x:row r="42" ht="48" customHeight="1">
      <x:c r="A42" s="100" t="str">
        <x:v>NYC / North Carolina screen</x:v>
      </x:c>
      <x:c r="B42" s="100" t="str">
        <x:v>Coverage gap</x:v>
      </x:c>
      <x:c r="C42" s="100" t="str">
        <x:v>No newly verified qualified lead. Brooklyn 421-a listing remains Watch pending restriction evidence.</x:v>
      </x:c>
    </x:row>
    <x:row r="43" ht="48" customHeight="1">
      <x:c r="A43" s="100" t="str">
        <x:v>Los Angeles screen</x:v>
      </x:c>
      <x:c r="B43" s="100" t="str">
        <x:v>No promotion</x:v>
      </x:c>
      <x:c r="C43" s="100" t="str">
        <x:v>Park.1915 returned in Tier 1 search. No new qualified conventional $10M+ candidate cleared all gates.</x:v>
      </x:c>
    </x:row>
    <x:row r="44" ht="48" customHeight="1">
      <x:c r="A44" s="100" t="str">
        <x:v>Chicago screen</x:v>
      </x:c>
      <x:c r="B44" s="100" t="str">
        <x:v>No promotion</x:v>
      </x:c>
      <x:c r="C44" s="100" t="str">
        <x:v>Washington Plaza returned in Tier 1 search; remaining results were generic rental inventory or incomplete/closed records.</x:v>
      </x:c>
    </x:row>
    <x:row r="45" ht="48" customHeight="1">
      <x:c r="A45" s="100" t="str">
        <x:v>430 &amp; 499 E. 8th St., Brooklyn</x:v>
      </x:c>
      <x:c r="B45" s="100" t="str">
        <x:v>Excluded</x:v>
      </x:c>
      <x:c r="C45" s="100" t="str">
        <x:v>Current $15M refinance is expressly rent-stabilized.</x:v>
      </x:c>
    </x:row>
    <x:row r="46" ht="48" customHeight="1">
      <x:c r="A46" s="100" t="str">
        <x:v>727 Collins Ave., Miami Beach</x:v>
      </x:c>
      <x:c r="B46" s="100" t="str">
        <x:v>Excluded</x:v>
      </x:c>
      <x:c r="C46" s="100" t="str">
        <x:v>Hospitality master lease plus retail footprint makes it materially mixed-use.</x:v>
      </x:c>
    </x:row>
    <x:row r="47" ht="48" customHeight="1">
      <x:c r="A47" s="100" t="str">
        <x:v>Closed / no-catalyst records</x:v>
      </x:c>
      <x:c r="B47" s="100" t="str">
        <x:v>Excluded</x:v>
      </x:c>
      <x:c r="C47" s="100" t="str">
        <x:v>Completed refinancing, closed acquisitions, and closed sales remain out absent a current sale process or documented unmet capital need.</x:v>
      </x:c>
    </x:row>
    <x:row r="48" ht="48" customHeight="1">
      <x:c r="A48" s="100" t="str">
        <x:v>Coverage limitation</x:v>
      </x:c>
      <x:c r="B48" s="100" t="str">
        <x:v>Not universal</x:v>
      </x:c>
      <x:c r="C48" s="100" t="str">
        <x:v>Targeted public-source sweep only across named MSAs. It does not imply universal listing coverage in any MSA or statewide coverage in Florida or North Carolina.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10a73f3d4e98443a"/>
    <x:tablePart xmlns:r="http://schemas.openxmlformats.org/officeDocument/2006/relationships" r:id="R9adef84f32264570"/>
    <x:tablePart xmlns:r="http://schemas.openxmlformats.org/officeDocument/2006/relationships" r:id="Rf2e044b834ea45f0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3" hidden="0" customWidth="1"/>
    <x:col min="6" max="6" width="18" hidden="0" customWidth="1"/>
    <x:col min="7" max="7" width="10" hidden="0" customWidth="1"/>
    <x:col min="8" max="8" width="27" hidden="0" customWidth="1"/>
    <x:col min="9" max="9" width="44" hidden="0" customWidth="1"/>
    <x:col min="10" max="10" width="35" hidden="0" customWidth="1"/>
    <x:col min="11" max="11" width="39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6" hidden="0" customWidth="1"/>
    <x:col min="20" max="20" width="39" hidden="0" customWidth="1"/>
    <x:col min="21" max="21" width="39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October 17, 2026 | Report-only | Targeted named-MSA public-source coverage; not universal or statewide</x:v>
      </x:c>
    </x:row>
    <x:row r="4">
      <x:c r="A4" s="290" t="str">
        <x:v>Action queue</x:v>
      </x:c>
      <x:c r="B4" s="292" t="str">
        <x:v>6 continuing leads</x:v>
      </x:c>
      <x:c r="D4" s="290" t="str">
        <x:v>Watch 65–74</x:v>
      </x:c>
      <x:c r="E4" s="292" t="str">
        <x:v>18 leads</x:v>
      </x:c>
    </x:row>
    <x:row r="5">
      <x:c r="A5" s="290" t="str">
        <x:v>Priority 85+</x:v>
      </x:c>
      <x:c r="B5" s="292" t="str">
        <x:v>None</x:v>
      </x:c>
      <x:c r="D5" s="290" t="str">
        <x:v>Excluded</x:v>
      </x:c>
      <x:c r="E5" s="292" t="str">
        <x:v>Retained + new screens</x:v>
      </x:c>
    </x:row>
    <x:row r="6">
      <x:c r="A6" s="290" t="str">
        <x:v>Qualified 75–84</x:v>
      </x:c>
      <x:c r="B6" s="292" t="str">
        <x:v>6</x:v>
      </x:c>
      <x:c r="D6" s="290" t="str">
        <x:v>$10M Gate</x:v>
      </x:c>
      <x:c r="E6" s="292" t="str">
        <x:v>Required</x:v>
      </x:c>
    </x:row>
    <x:row r="7">
      <x:c r="A7" s="290" t="str">
        <x:v>New qualified leads</x:v>
      </x:c>
      <x:c r="B7" s="292" t="str">
        <x:v>0</x:v>
      </x:c>
      <x:c r="D7" s="290" t="str">
        <x:v>Outreach</x:v>
      </x:c>
      <x:c r="E7" s="292" t="str">
        <x:v>Named-lead approval required</x:v>
      </x:c>
    </x:row>
    <x:row r="9" ht="40" customHeight="1">
      <x:c r="A9" s="301" t="str">
        <x:v>Lead ID</x:v>
      </x:c>
      <x:c r="B9" s="301" t="str">
        <x:v>Status</x:v>
      </x:c>
      <x:c r="C9" s="301" t="str">
        <x:v>Classification</x:v>
      </x:c>
      <x:c r="D9" s="301" t="str">
        <x:v>$10M Gate</x:v>
      </x:c>
      <x:c r="E9" s="301" t="str">
        <x:v>Asset / Address</x:v>
      </x:c>
      <x:c r="F9" s="301" t="str">
        <x:v>MSA</x:v>
      </x:c>
      <x:c r="G9" s="301" t="str">
        <x:v>Units</x:v>
      </x:c>
      <x:c r="H9" s="301" t="str">
        <x:v>Owner / Broker</x:v>
      </x:c>
      <x:c r="I9" s="301" t="str">
        <x:v>Observed facts</x:v>
      </x:c>
      <x:c r="J9" s="301" t="str">
        <x:v>Inference</x:v>
      </x:c>
      <x:c r="K9" s="301" t="str">
        <x:v>Counterargument</x:v>
      </x:c>
      <x:c r="L9" s="301" t="str">
        <x:v>Sale process 35</x:v>
      </x:c>
      <x:c r="M9" s="301" t="str">
        <x:v>Capital event 20</x:v>
      </x:c>
      <x:c r="N9" s="301" t="str">
        <x:v>Fit 15</x:v>
      </x:c>
      <x:c r="O9" s="301" t="str">
        <x:v>Execution 10</x:v>
      </x:c>
      <x:c r="P9" s="301" t="str">
        <x:v>Evidence 15</x:v>
      </x:c>
      <x:c r="Q9" s="301" t="str">
        <x:v>Contacts 5</x:v>
      </x:c>
      <x:c r="R9" s="301" t="str">
        <x:v>Score</x:v>
      </x:c>
      <x:c r="S9" s="301" t="str">
        <x:v>Sources / dates</x:v>
      </x:c>
      <x:c r="T9" s="301" t="str">
        <x:v>Verified public contact</x:v>
      </x:c>
      <x:c r="U9" s="301" t="str">
        <x:v>Light Tower angle</x:v>
      </x:c>
    </x:row>
    <x:row r="10" ht="122" customHeight="1">
      <x:c r="A10" s="100" t="str">
        <x:v>PHI-011</x:v>
      </x:c>
      <x:c r="B10" s="100" t="str">
        <x:v>Continuing</x:v>
      </x:c>
      <x:c r="C10" s="100" t="str">
        <x:v>Active Sale</x:v>
      </x:c>
      <x:c r="D10" s="101" t="n">
        <x:v>40200000</x:v>
      </x:c>
      <x:c r="E10" s="100" t="str">
        <x:v>1220–1246 N. Broad St. &amp; 1254 N. Carlisle St.</x:v>
      </x:c>
      <x:c r="F10" s="100" t="str">
        <x:v>Philadelphia</x:v>
      </x:c>
      <x:c r="G10" s="102" t="n">
        <x:v>309</x:v>
      </x:c>
      <x:c r="H10" s="100" t="str">
        <x:v>GREA</x:v>
      </x:c>
      <x:c r="I10" s="100" t="str">
        <x:v>Tier 1 offering returned Oct. 16; $40.2M / 309 apartments; listed Aug. 31; 8,130 SF ground-floor commercial.</x:v>
      </x:c>
      <x:c r="J10" s="100" t="str">
        <x:v>Named-broker process supports sale advisory and financing review.</x:v>
      </x:c>
      <x:c r="K10" s="100" t="str">
        <x:v>Verify commercial-income split, five-bedroom leases, restrictions, rent roll, authority, and parcel rights.</x:v>
      </x:c>
      <x:c r="L10" s="103" t="n">
        <x:v>34</x:v>
      </x:c>
      <x:c r="M10" s="103" t="n">
        <x:v>0</x:v>
      </x:c>
      <x:c r="N10" s="103" t="n">
        <x:v>13</x:v>
      </x:c>
      <x:c r="O10" s="103" t="n">
        <x:v>9</x:v>
      </x:c>
      <x:c r="P10" s="103" t="n">
        <x:v>15</x:v>
      </x:c>
      <x:c r="Q10" s="103" t="n">
        <x:v>5</x:v>
      </x:c>
      <x:c r="R10" s="103" t="n">
        <x:f>SUM(L10:Q10)</x:f>
        <x:v>76</x:v>
      </x:c>
      <x:c r="S10" s="100" t="str">
        <x:v>LoopNet Tier 1 | listed Aug. 31; observed Oct. 16 | https://www.loopnet.com/Listing/1220-N-Broad-St-1254-N-Carlisle-St/41945982/</x:v>
      </x:c>
      <x:c r="T10" s="100" t="str">
        <x:v>Kenneth Wellar, GREA, (215) 454-2879, ken.wellar@grea.com</x:v>
      </x:c>
      <x:c r="U10" s="100" t="str">
        <x:v>Sale advisory; buyer financing; bridge; preferred equity; recapitalization</x:v>
      </x:c>
    </x:row>
    <x:row r="11" ht="122" customHeight="1">
      <x:c r="A11" s="100" t="str">
        <x:v>LA-011</x:v>
      </x:c>
      <x:c r="B11" s="100" t="str">
        <x:v>Continuing</x:v>
      </x:c>
      <x:c r="C11" s="100" t="str">
        <x:v>Active Sale</x:v>
      </x:c>
      <x:c r="D11" s="101" t="n">
        <x:v>18000000</x:v>
      </x:c>
      <x:c r="E11" s="100" t="str">
        <x:v>Park.1915, 1915 Park Ave.</x:v>
      </x:c>
      <x:c r="F11" s="100" t="str">
        <x:v>Los Angeles</x:v>
      </x:c>
      <x:c r="G11" s="102" t="n">
        <x:v>36</x:v>
      </x:c>
      <x:c r="H11" s="100" t="str">
        <x:v>Marcus &amp; Millichap</x:v>
      </x:c>
      <x:c r="I11" s="100" t="str">
        <x:v>Tier 1 offering returned Oct. 16; $18.0M ask; Aug. 17 market date; OM and 2025 financial attachment identified.</x:v>
      </x:c>
      <x:c r="J11" s="100" t="str">
        <x:v>Near-term sale-advisory and acquisition-financing candidate.</x:v>
      </x:c>
      <x:c r="K11" s="100" t="str">
        <x:v>Confirm restrictions, CO, authority, rent roll, and 2025 results.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Tier 1 | listed Aug. 17; observed Oct. 16 | https://www.loopnet.com/Listing/1915-Park-Avenue-Los-Angeles-CA/41776924/</x:v>
      </x:c>
      <x:c r="T11" s="100" t="str">
        <x:v>Neema Ahadian, (310) 909-5444; Jeffrey Estrada, (310) 909-5423</x:v>
      </x:c>
      <x:c r="U11" s="100" t="str">
        <x:v>Sale advisory; buyer financing; senior refinance</x:v>
      </x:c>
    </x:row>
    <x:row r="12" ht="122" customHeight="1">
      <x:c r="A12" s="100" t="str">
        <x:v>LA-010</x:v>
      </x:c>
      <x:c r="B12" s="100" t="str">
        <x:v>Continuing</x:v>
      </x:c>
      <x:c r="C12" s="100" t="str">
        <x:v>Active Sale</x:v>
      </x:c>
      <x:c r="D12" s="101" t="n">
        <x:v>15950000</x:v>
      </x:c>
      <x:c r="E12" s="100" t="str">
        <x:v>3675 Dunn Dr.</x:v>
      </x:c>
      <x:c r="F12" s="100" t="str">
        <x:v>Los Angeles</x:v>
      </x:c>
      <x:c r="G12" s="102" t="n">
        <x:v>18</x:v>
      </x:c>
      <x:c r="H12" s="100" t="str">
        <x:v>Alex Galuz, KW Commercial</x:v>
      </x:c>
      <x:c r="I12" s="100" t="str">
        <x:v>Prior Tier 1 offering: $15.95M ask; Aug. 3 market date; $7.65M assumable Chase loan. No contrary Oct. 17 public evidence.</x:v>
      </x:c>
      <x:c r="J12" s="100" t="str">
        <x:v>Loan assumption supports financing or recap analysis.</x:v>
      </x:c>
      <x:c r="K12" s="100" t="str">
        <x:v>Prior availability is not fresh verification; confirm authority, covenants, rent roll, debt, and transfer terms.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14</x:v>
      </x:c>
      <x:c r="Q12" s="103" t="n">
        <x:v>5</x:v>
      </x:c>
      <x:c r="R12" s="103" t="n">
        <x:f>SUM(L12:Q12)</x:f>
        <x:v>78</x:v>
      </x:c>
      <x:c r="S12" s="100" t="str">
        <x:v>LoopNet Tier 1 | listed Aug. 3; last direct availability Oct. 13 | https://www.loopnet.com/Listing/3675-Dunn-Dr-Los-Angeles-CA/41534752/</x:v>
      </x:c>
      <x:c r="T12" s="100" t="str">
        <x:v>Alex Galuz, KW Commercial, (310) 466-0888</x:v>
      </x:c>
      <x:c r="U12" s="100" t="str">
        <x:v>Sale advisory; buyer financing; senior refinance; recapitalization</x:v>
      </x:c>
    </x:row>
    <x:row r="13" ht="122" customHeight="1">
      <x:c r="A13" s="100" t="str">
        <x:v>LA-015</x:v>
      </x:c>
      <x:c r="B13" s="100" t="str">
        <x:v>Continuing</x:v>
      </x:c>
      <x:c r="C13" s="100" t="str">
        <x:v>Active Sale</x:v>
      </x:c>
      <x:c r="D13" s="101" t="n">
        <x:v>11200000</x:v>
      </x:c>
      <x:c r="E13" s="100" t="str">
        <x:v>2912–2924 W. 141st Pl. &amp; 2925 W. Rosecrans Ave.</x:v>
      </x:c>
      <x:c r="F13" s="100" t="str">
        <x:v>Gardena / Los Angeles MSA</x:v>
      </x:c>
      <x:c r="G13" s="102" t="n">
        <x:v>32</x:v>
      </x:c>
      <x:c r="H13" s="100" t="str">
        <x:v>Shield Commercial Real Estate</x:v>
      </x:c>
      <x:c r="I13" s="100" t="str">
        <x:v>Prior Tier 1 offering: $11.2M ask; Aug. 17 market date; 6.44% cap rate; AB 1482-only disclosure. No contrary Oct. 17 evidence.</x:v>
      </x:c>
      <x:c r="J13" s="100" t="str">
        <x:v>Dated marketing supports buyer financing, bridge, or recapitalization.</x:v>
      </x:c>
      <x:c r="K13" s="100" t="str">
        <x:v>Confirm current exclusive, authority, AB 1482 scope, title, rent roll, and renovations.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14</x:v>
      </x:c>
      <x:c r="Q13" s="103" t="n">
        <x:v>5</x:v>
      </x:c>
      <x:c r="R13" s="103" t="n">
        <x:f>SUM(L13:Q13)</x:f>
        <x:v>78</x:v>
      </x:c>
      <x:c r="S13" s="100" t="str">
        <x:v>LoopNet Tier 1 | listed Aug. 17; last direct availability Oct. 13 | https://www.loopnet.com/Listing/2912-W-141st-Pl-Gardena-CA/41773238/</x:v>
      </x:c>
      <x:c r="T13" s="100" t="str">
        <x:v>Allen Gholian, Shield Commercial, (310) 593-9868</x:v>
      </x:c>
      <x:c r="U13" s="100" t="str">
        <x:v>Sale advisory; buyer financing; bridge; recapitalization</x:v>
      </x:c>
    </x:row>
    <x:row r="14" ht="122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BAUVISTA</x:v>
      </x:c>
      <x:c r="I14" s="100" t="str">
        <x:v>Tier 1 listing returned Oct. 16; $12M ask; 172 apartments; 98% stated occupancy; Jul. 22 market date.</x:v>
      </x:c>
      <x:c r="J14" s="100" t="str">
        <x:v>Buyer financing, bridge, or recapitalization potential.</x:v>
      </x:c>
      <x:c r="K14" s="100" t="str">
        <x:v>Search result is not same-day status proof; verify subsidy/master-lease exposure, capex, authority, and rent roll.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Tier 1 | listed Jul. 22; observed Oct. 16 | https://www.loopnet.com/Listing/5501-W-Washington-Blvd-Chicago-IL/41395207/</x:v>
      </x:c>
      <x:c r="T14" s="100" t="str">
        <x:v>Brian Mond, (773) 615-2626; George Benitez, (239) 443-0768</x:v>
      </x:c>
      <x:c r="U14" s="100" t="str">
        <x:v>Sale advisory; buyer financing; bridge; recapitalization</x:v>
      </x:c>
    </x:row>
    <x:row r="15" ht="122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Oct. 17 Tier 2 searches again identify AJH's sale intent, Newmark's marketing role, 1,068 units, and 2019 $141M value.</x:v>
      </x:c>
      <x:c r="J15" s="100" t="str">
        <x:v>Institutional sale process supports advisory, financing, preferred equity, recapitalization, or lender dialogue.</x:v>
      </x:c>
      <x:c r="K15" s="100" t="str">
        <x:v>Obtain OM, bid timing, authority, price, restrictions, T-12, and capex plan; no public current ask.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/ PBJ / The Real Deal Tier 2 | Aug. 30–31; searched Oct. 17 | https://www.bisnow.com/news/philadelphia/multifamily/largest-apartment-complex-for-sale-international-city</x:v>
      </x:c>
      <x:c r="T15" s="100" t="str">
        <x:v>Carl Fiebig, Newmark, (215) 470-5826, Carl.Fiebig@nmrk.com</x:v>
      </x:c>
      <x:c r="U15" s="100" t="str">
        <x:v>Sale advisory; buyer financing; bridge; preferred equity; recapitalization; lender dialogue</x:v>
      </x:c>
    </x:row>
    <x:row r="17">
      <x:c r="A17" s="294" t="str">
        <x:v>Watch — 65–74: evidence, process, or product gates still open</x:v>
      </x:c>
    </x:row>
    <x:row r="18" ht="40" customHeight="1">
      <x:c r="A18" s="301" t="str">
        <x:v>Lead ID</x:v>
      </x:c>
      <x:c r="B18" s="301" t="str">
        <x:v>Classification</x:v>
      </x:c>
      <x:c r="C18" s="301" t="str">
        <x:v>Asset / MSA</x:v>
      </x:c>
      <x:c r="D18" s="301" t="str">
        <x:v>Score</x:v>
      </x:c>
      <x:c r="E18" s="301" t="str">
        <x:v>Reason held</x:v>
      </x:c>
      <x:c r="F18" s="301" t="str">
        <x:v>Precise next verification step</x:v>
      </x:c>
    </x:row>
    <x:row r="19" ht="52" customHeight="1">
      <x:c r="A19" s="100" t="str">
        <x:v>NY-002</x:v>
      </x:c>
      <x:c r="B19" s="100" t="str">
        <x:v>Watch</x:v>
      </x:c>
      <x:c r="C19" s="100" t="str">
        <x:v>99 Dumont &amp; 499 Pennsylvania, Brooklyn / NYC</x:v>
      </x:c>
      <x:c r="D19" s="100" t="n">
        <x:v>70</x:v>
      </x:c>
      <x:c r="E19" s="100" t="str">
        <x:v>421-a exemption through 2061; restriction status unresolved.</x:v>
      </x:c>
      <x:c r="F19" s="100" t="str">
        <x:v>Obtain OM, 421-a agreement, unit/rent schedule, restrictions, mandate, and authority.</x:v>
      </x:c>
    </x:row>
    <x:row r="20" ht="52" customHeight="1">
      <x:c r="A20" s="100" t="str">
        <x:v>FL-010</x:v>
      </x:c>
      <x:c r="B20" s="100" t="str">
        <x:v>Capital Event</x:v>
      </x:c>
      <x:c r="C20" s="100" t="str">
        <x:v>Landmark South, Doral / Miami</x:v>
      </x:c>
      <x:c r="D20" s="100" t="n">
        <x:v>65</x:v>
      </x:c>
      <x:c r="E20" s="100" t="str">
        <x:v>$238M bridge refinance; no sale process or unmet capital need public.</x:v>
      </x:c>
      <x:c r="F20" s="100" t="str">
        <x:v>Confirm maturity, milestones, capital need, authority, and JSB/Torchlight dialogue.</x:v>
      </x:c>
    </x:row>
    <x:row r="21" ht="52" customHeight="1">
      <x:c r="A21" s="100" t="str">
        <x:v>LA-014</x:v>
      </x:c>
      <x:c r="B21" s="100" t="str">
        <x:v>Watch</x:v>
      </x:c>
      <x:c r="C21" s="100" t="str">
        <x:v>V on Victory, Van Nuys / Los Angeles</x:v>
      </x:c>
      <x:c r="D21" s="100" t="n">
        <x:v>74</x:v>
      </x:c>
      <x:c r="E21" s="100" t="str">
        <x:v>Four of 68 units have unresolved restriction status.</x:v>
      </x:c>
      <x:c r="F21" s="100" t="str">
        <x:v>Obtain OM and recorded covenants; reconcile all units' restrictions.</x:v>
      </x:c>
    </x:row>
    <x:row r="22" ht="52" customHeight="1">
      <x:c r="A22" s="100" t="str">
        <x:v>CHI-003</x:v>
      </x:c>
      <x:c r="B22" s="100" t="str">
        <x:v>Watch</x:v>
      </x:c>
      <x:c r="C22" s="100" t="str">
        <x:v>4520–26 S. Drexel, Chicago</x:v>
      </x:c>
      <x:c r="D22" s="100" t="n">
        <x:v>74</x:v>
      </x:c>
      <x:c r="E22" s="100" t="str">
        <x:v>Primary foreclosure/receiver evidence absent.</x:v>
      </x:c>
      <x:c r="F22" s="100" t="str">
        <x:v>Obtain Cook County docket, receiver order, complaint, payoff, and current marketing status.</x:v>
      </x:c>
    </x:row>
    <x:row r="23" ht="52" customHeight="1">
      <x:c r="A23" s="100" t="str">
        <x:v>LA-003</x:v>
      </x:c>
      <x:c r="B23" s="100" t="str">
        <x:v>Watch</x:v>
      </x:c>
      <x:c r="C23" s="100" t="str">
        <x:v>Nabi Apartments, Los Angeles</x:v>
      </x:c>
      <x:c r="D23" s="100" t="n">
        <x:v>72</x:v>
      </x:c>
      <x:c r="E23" s="100" t="str">
        <x:v>CDFI/project history requires covenant and title clearance.</x:v>
      </x:c>
      <x:c r="F23" s="100" t="str">
        <x:v>Check recorded covenant, title, HCD records, and deed restrictions.</x:v>
      </x:c>
    </x:row>
    <x:row r="24" ht="52" customHeight="1">
      <x:c r="A24" s="100" t="str">
        <x:v>LA-012</x:v>
      </x:c>
      <x:c r="B24" s="100" t="str">
        <x:v>Watch</x:v>
      </x:c>
      <x:c r="C24" s="100" t="str">
        <x:v>The Palms, Torrance / Los Angeles</x:v>
      </x:c>
      <x:c r="D24" s="100" t="n">
        <x:v>72</x:v>
      </x:c>
      <x:c r="E24" s="100" t="str">
        <x:v>Current record is contingent, not active sale.</x:v>
      </x:c>
      <x:c r="F24" s="100" t="str">
        <x:v>Monitor close; verify authority, restrictions, rent roll, and lender catalyst.</x:v>
      </x:c>
    </x:row>
    <x:row r="25" ht="52" customHeight="1">
      <x:c r="A25" s="100" t="str">
        <x:v>FL-001</x:v>
      </x:c>
      <x:c r="B25" s="100" t="str">
        <x:v>Watch</x:v>
      </x:c>
      <x:c r="C25" s="100" t="str">
        <x:v>Gables Galiano, Coral Gables / Miami</x:v>
      </x:c>
      <x:c r="D25" s="100" t="n">
        <x:v>71</x:v>
      </x:c>
      <x:c r="E25" s="100" t="str">
        <x:v>Extended marketing weakens sale-process evidence.</x:v>
      </x:c>
      <x:c r="F25" s="100" t="str">
        <x:v>Obtain current broker mandate, OM, rent roll, restriction confirmation, and authority.</x:v>
      </x:c>
    </x:row>
    <x:row r="26" ht="52" customHeight="1">
      <x:c r="A26" s="100" t="str">
        <x:v>FL-006</x:v>
      </x:c>
      <x:c r="B26" s="100" t="str">
        <x:v>Watch</x:v>
      </x:c>
      <x:c r="C26" s="100" t="str">
        <x:v>Genesis Clearwater, Clearwater / Tampa</x:v>
      </x:c>
      <x:c r="D26" s="100" t="n">
        <x:v>71</x:v>
      </x:c>
      <x:c r="E26" s="100" t="str">
        <x:v>Foreclosure reporting lacks primary debt and party linkage.</x:v>
      </x:c>
      <x:c r="F26" s="100" t="str">
        <x:v>Obtain complaint, mortgage/assignment, debt balance, lender/borrower link, and restriction evidence.</x:v>
      </x:c>
    </x:row>
    <x:row r="27" ht="52" customHeight="1">
      <x:c r="A27" s="100" t="str">
        <x:v>FL-007</x:v>
      </x:c>
      <x:c r="B27" s="100" t="str">
        <x:v>Watch</x:v>
      </x:c>
      <x:c r="C27" s="100" t="str">
        <x:v>650 SW 1st St., Miami</x:v>
      </x:c>
      <x:c r="D27" s="100" t="n">
        <x:v>70</x:v>
      </x:c>
      <x:c r="E27" s="100" t="str">
        <x:v>Ask, product split, and restrictions unresolved.</x:v>
      </x:c>
      <x:c r="F27" s="100" t="str">
        <x:v>Obtain total ask, rent roll, residential-income split, restrictions, and broker.</x:v>
      </x:c>
    </x:row>
    <x:row r="28" ht="52" customHeight="1">
      <x:c r="A28" s="100" t="str">
        <x:v>PHI-008</x:v>
      </x:c>
      <x:c r="B28" s="100" t="str">
        <x:v>Watch</x:v>
      </x:c>
      <x:c r="C28" s="100" t="str">
        <x:v>220–222 Church, Philadelphia</x:v>
      </x:c>
      <x:c r="D28" s="100" t="n">
        <x:v>70</x:v>
      </x:c>
      <x:c r="E28" s="100" t="str">
        <x:v>Unit count, commercial scope, and mandate inconsistent.</x:v>
      </x:c>
      <x:c r="F28" s="100" t="str">
        <x:v>Obtain OM, lease/rent roll, unit reconciliation, and broker mandate.</x:v>
      </x:c>
    </x:row>
    <x:row r="29" ht="52" customHeight="1">
      <x:c r="A29" s="100" t="str">
        <x:v>PHI-007</x:v>
      </x:c>
      <x:c r="B29" s="100" t="str">
        <x:v>Watch</x:v>
      </x:c>
      <x:c r="C29" s="100" t="str">
        <x:v>The Maxfield, Philadelphia</x:v>
      </x:c>
      <x:c r="D29" s="100" t="n">
        <x:v>70</x:v>
      </x:c>
      <x:c r="E29" s="100" t="str">
        <x:v>Listing age weakens availability.</x:v>
      </x:c>
      <x:c r="F29" s="100" t="str">
        <x:v>Obtain current exclusive, T-12, rent roll, and seller authority.</x:v>
      </x:c>
    </x:row>
    <x:row r="30" ht="52" customHeight="1">
      <x:c r="A30" s="100" t="str">
        <x:v>FL-005</x:v>
      </x:c>
      <x:c r="B30" s="100" t="str">
        <x:v>Watch</x:v>
      </x:c>
      <x:c r="C30" s="100" t="str">
        <x:v>The Wave Apartments, Tampa</x:v>
      </x:c>
      <x:c r="D30" s="100" t="n">
        <x:v>69</x:v>
      </x:c>
      <x:c r="E30" s="100" t="str">
        <x:v>Default reporting lacks a primary foreclosure record.</x:v>
      </x:c>
      <x:c r="F30" s="100" t="str">
        <x:v>Obtain complaint, mortgage/assignment, lender/borrower linkage, and restriction evidence.</x:v>
      </x:c>
    </x:row>
    <x:row r="31" ht="52" customHeight="1">
      <x:c r="A31" s="100" t="str">
        <x:v>FL-003</x:v>
      </x:c>
      <x:c r="B31" s="100" t="str">
        <x:v>Watch</x:v>
      </x:c>
      <x:c r="C31" s="100" t="str">
        <x:v>California Club, Miami</x:v>
      </x:c>
      <x:c r="D31" s="100" t="n">
        <x:v>69</x:v>
      </x:c>
      <x:c r="E31" s="100" t="str">
        <x:v>Current mandate evidence is insufficiently recent.</x:v>
      </x:c>
      <x:c r="F31" s="100" t="str">
        <x:v>Obtain current listing agreement, units/price, rent roll, and restriction check.</x:v>
      </x:c>
    </x:row>
    <x:row r="32" ht="52" customHeight="1">
      <x:c r="A32" s="100" t="str">
        <x:v>LA-007</x:v>
      </x:c>
      <x:c r="B32" s="100" t="str">
        <x:v>Watch</x:v>
      </x:c>
      <x:c r="C32" s="100" t="str">
        <x:v>The Jeffries, Los Angeles</x:v>
      </x:c>
      <x:c r="D32" s="100" t="n">
        <x:v>69</x:v>
      </x:c>
      <x:c r="E32" s="100" t="str">
        <x:v>Availability and regulatory status lack corroboration.</x:v>
      </x:c>
      <x:c r="F32" s="100" t="str">
        <x:v>Obtain live mandate, RSO/affordability clearance, price, and rent roll.</x:v>
      </x:c>
    </x:row>
    <x:row r="33" ht="52" customHeight="1">
      <x:c r="A33" s="100" t="str">
        <x:v>NY-001</x:v>
      </x:c>
      <x:c r="B33" s="100" t="str">
        <x:v>Watch</x:v>
      </x:c>
      <x:c r="C33" s="100" t="str">
        <x:v>30-unit portfolio, NYC</x:v>
      </x:c>
      <x:c r="D33" s="100" t="n">
        <x:v>68</x:v>
      </x:c>
      <x:c r="E33" s="100" t="str">
        <x:v>Stabilization status and sale process unclear.</x:v>
      </x:c>
      <x:c r="F33" s="100" t="str">
        <x:v>Obtain HPD/DHCR records, current OM, addresses, price, and broker authority.</x:v>
      </x:c>
    </x:row>
    <x:row r="34" ht="52" customHeight="1">
      <x:c r="A34" s="100" t="str">
        <x:v>LA-008</x:v>
      </x:c>
      <x:c r="B34" s="100" t="str">
        <x:v>Watch</x:v>
      </x:c>
      <x:c r="C34" s="100" t="str">
        <x:v>The Cooper, Los Angeles</x:v>
      </x:c>
      <x:c r="D34" s="100" t="n">
        <x:v>68</x:v>
      </x:c>
      <x:c r="E34" s="100" t="str">
        <x:v>Listing needs RSO determination.</x:v>
      </x:c>
      <x:c r="F34" s="100" t="str">
        <x:v>Verify HCIDLA RSO status, title/covenants, and current broker mandate.</x:v>
      </x:c>
    </x:row>
    <x:row r="35" ht="52" customHeight="1">
      <x:c r="A35" s="100" t="str">
        <x:v>LA-009</x:v>
      </x:c>
      <x:c r="B35" s="100" t="str">
        <x:v>Watch</x:v>
      </x:c>
      <x:c r="C35" s="100" t="str">
        <x:v>1400 Venice Blvd., Los Angeles</x:v>
      </x:c>
      <x:c r="D35" s="100" t="n">
        <x:v>68</x:v>
      </x:c>
      <x:c r="E35" s="100" t="str">
        <x:v>Ask lacks dated current listing record.</x:v>
      </x:c>
      <x:c r="F35" s="100" t="str">
        <x:v>Obtain dated exclusive/MLS, authority, RSO/covenant status, and rent roll.</x:v>
      </x:c>
    </x:row>
    <x:row r="36" ht="52" customHeight="1">
      <x:c r="A36" s="100" t="str">
        <x:v>LA-013</x:v>
      </x:c>
      <x:c r="B36" s="100" t="str">
        <x:v>Watch</x:v>
      </x:c>
      <x:c r="C36" s="100" t="str">
        <x:v>Park Terrace Apartments, Los Angeles</x:v>
      </x:c>
      <x:c r="D36" s="100" t="n">
        <x:v>68</x:v>
      </x:c>
      <x:c r="E36" s="100" t="str">
        <x:v>Aged mandate and regulatory evidence unresolved.</x:v>
      </x:c>
      <x:c r="F36" s="100" t="str">
        <x:v>Obtain current mandate, CO, RSO determination, title/covenants, and rent roll.</x:v>
      </x:c>
    </x:row>
    <x:row r="38">
      <x:c r="A38" s="296" t="str">
        <x:v>Excluded and coverage gaps</x:v>
      </x:c>
    </x:row>
    <x:row r="39" ht="40" customHeight="1">
      <x:c r="A39" s="301" t="str">
        <x:v>Item</x:v>
      </x:c>
      <x:c r="B39" s="301" t="str">
        <x:v>Classification</x:v>
      </x:c>
      <x:c r="C39" s="301" t="str">
        <x:v>Exclusion / coverage finding</x:v>
      </x:c>
    </x:row>
    <x:row r="40" ht="48" customHeight="1">
      <x:c r="A40" s="100" t="str">
        <x:v>Oct. 17 public-source screen</x:v>
      </x:c>
      <x:c r="B40" s="100" t="str">
        <x:v>No promotion</x:v>
      </x:c>
      <x:c r="C40" s="100" t="str">
        <x:v>No fresh targeted result cleared price/debt, conventional product, regulatory, recency, and evidence gates.</x:v>
      </x:c>
    </x:row>
    <x:row r="41" ht="48" customHeight="1">
      <x:c r="A41" s="100" t="str">
        <x:v>4400 S. Calumet, Chicago</x:v>
      </x:c>
      <x:c r="B41" s="100" t="str">
        <x:v>Excluded</x:v>
      </x:c>
      <x:c r="C41" s="100" t="str">
        <x:v>CRER describes a completed $10M / 51-unit Bronzeville sale, not a current sale or capital catalyst.</x:v>
      </x:c>
    </x:row>
    <x:row r="42" ht="48" customHeight="1">
      <x:c r="A42" s="100" t="str">
        <x:v>3217 S. Central Ave., Los Angeles</x:v>
      </x:c>
      <x:c r="B42" s="100" t="str">
        <x:v>Excluded</x:v>
      </x:c>
      <x:c r="C42" s="100" t="str">
        <x:v>Direct listing expressly identifies TOC affordable housing.</x:v>
      </x:c>
    </x:row>
    <x:row r="43" ht="48" customHeight="1">
      <x:c r="A43" s="100" t="str">
        <x:v>Los Angeles screen</x:v>
      </x:c>
      <x:c r="B43" s="100" t="str">
        <x:v>Held</x:v>
      </x:c>
      <x:c r="C43" s="100" t="str">
        <x:v>Current MF hits lacked a verified $10M gate or were restricted/affordable.</x:v>
      </x:c>
    </x:row>
    <x:row r="44" ht="48" customHeight="1">
      <x:c r="A44" s="100" t="str">
        <x:v>Florida / North Carolina / NYC screen</x:v>
      </x:c>
      <x:c r="B44" s="100" t="str">
        <x:v>Coverage gap</x:v>
      </x:c>
      <x:c r="C44" s="100" t="str">
        <x:v>No newly verified qualifying sale or capital-event lead; generic or incomplete results not promoted.</x:v>
      </x:c>
    </x:row>
    <x:row r="45" ht="48" customHeight="1">
      <x:c r="A45" s="100" t="str">
        <x:v>Closed / no-catalyst records</x:v>
      </x:c>
      <x:c r="B45" s="100" t="str">
        <x:v>Excluded</x:v>
      </x:c>
      <x:c r="C45" s="100" t="str">
        <x:v>Completed refinancing, sales, and acquisitions remain out absent a current process or unmet capital need.</x:v>
      </x:c>
    </x:row>
    <x:row r="46" ht="48" customHeight="1">
      <x:c r="A46" s="100" t="str">
        <x:v>Delivery</x:v>
      </x:c>
      <x:c r="B46" s="100" t="str">
        <x:v>Limited</x:v>
      </x:c>
      <x:c r="C46" s="100" t="str">
        <x:v>No connected Sheets or authenticated email connector. Historical $20M tabs untouched; no email sent.</x:v>
      </x:c>
    </x:row>
    <x:row r="47" ht="48" customHeight="1">
      <x:c r="A47" s="100" t="str">
        <x:v>Coverage limitation</x:v>
      </x:c>
      <x:c r="B47" s="100" t="str">
        <x:v>Not universal</x:v>
      </x:c>
      <x:c r="C47" s="100" t="str">
        <x:v>Targeted public-source sweep only across named MSAs; never statewide Florida or North Carolina coverage.</x:v>
      </x:c>
    </x:row>
  </x:sheetData>
  <x:mergeCells>
    <x:mergeCell ref="A1:U1"/>
    <x:mergeCell ref="A2:U2"/>
    <x:mergeCell ref="A17:F17"/>
    <x:mergeCell ref="A38:C38"/>
  </x:mergeCells>
  <x:pageMargins left="0.7" right="0.7" top="0.75" bottom="0.75" header="0.3" footer="0.3"/>
  <x:tableParts count="3">
    <x:tablePart xmlns:r="http://schemas.openxmlformats.org/officeDocument/2006/relationships" r:id="R052fe7396e354d60"/>
    <x:tablePart xmlns:r="http://schemas.openxmlformats.org/officeDocument/2006/relationships" r:id="R995cb7aae27d4ea9"/>
    <x:tablePart xmlns:r="http://schemas.openxmlformats.org/officeDocument/2006/relationships" r:id="R79392ef888df482f"/>
  </x:tableParts>
</x:worksheet>
</file>