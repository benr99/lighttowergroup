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2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f33fa21e6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02f3fd11ef3c48f2"/>
    <x:sheet xmlns:r="http://schemas.openxmlformats.org/officeDocument/2006/relationships" name="Run 2026-09-07" sheetId="2" r:id="R6b3da4fd6ae04b5e"/>
    <x:sheet xmlns:r="http://schemas.openxmlformats.org/officeDocument/2006/relationships" name="Run 2026-09-08" sheetId="3" r:id="R03882f0e378645f4"/>
    <x:sheet xmlns:r="http://schemas.openxmlformats.org/officeDocument/2006/relationships" name="Run 2026-09-09" sheetId="4" r:id="Rf12735ab576941c5"/>
    <x:sheet xmlns:r="http://schemas.openxmlformats.org/officeDocument/2006/relationships" name="Run 2026-09-10" sheetId="5" r:id="R8c4381084605437a"/>
    <x:sheet xmlns:r="http://schemas.openxmlformats.org/officeDocument/2006/relationships" name="Run 2026-09-14" sheetId="6" r:id="R40171dd41edf48aa"/>
    <x:sheet xmlns:r="http://schemas.openxmlformats.org/officeDocument/2006/relationships" name="Run 2026-09-15" sheetId="7" r:id="R1075d7cc2a344b8f"/>
    <x:sheet xmlns:r="http://schemas.openxmlformats.org/officeDocument/2006/relationships" name="Run 2026-10-07" sheetId="8" r:id="Recf727445e5140da"/>
    <x:sheet xmlns:r="http://schemas.openxmlformats.org/officeDocument/2006/relationships" name="Run 2026-10-08" sheetId="9" r:id="R9bdaac4deaab44a0"/>
    <x:sheet xmlns:r="http://schemas.openxmlformats.org/officeDocument/2006/relationships" name="Run 2026-10-10" sheetId="10" r:id="Rcfc3af932bc049b6"/>
    <x:sheet xmlns:r="http://schemas.openxmlformats.org/officeDocument/2006/relationships" name="Run 2026-10-11" sheetId="11" r:id="R7fb0543ec42e4738"/>
    <x:sheet xmlns:r="http://schemas.openxmlformats.org/officeDocument/2006/relationships" name="Run 2026-10-12" sheetId="12" r:id="R9cffaf2948cd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6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8" borderId="0" xfId="0" applyNumberFormat="1" applyFont="1" applyFill="1" applyBorder="1"/>
    <x:xf numFmtId="0" fontId="9" fillId="58" borderId="0" xfId="0" applyNumberFormat="1" applyFont="1" applyFill="1" applyBorder="1"/>
    <x:xf numFmtId="0" fontId="0" fillId="59" borderId="0" xfId="0" applyNumberFormat="1" applyFont="1" applyFill="1" applyBorder="1"/>
    <x:xf numFmtId="0" fontId="10" fillId="59" borderId="0" xfId="0" applyNumberFormat="1" applyFont="1" applyFill="1" applyBorder="1"/>
    <x:xf numFmtId="0" fontId="0" fillId="60" borderId="0" xfId="0" applyNumberFormat="1" applyFont="1" applyFill="1" applyBorder="1"/>
    <x:xf numFmtId="0" fontId="10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1" fillId="61" borderId="0" xfId="0" applyNumberFormat="1" applyFont="1" applyFill="1" applyBorder="1" applyAlignment="1">
      <x:alignment wrapText="1"/>
    </x:xf>
    <x:xf numFmtId="0" fontId="11" fillId="61" borderId="0" xfId="0" applyNumberFormat="1" applyFont="1" applyFill="1" applyBorder="1" applyAlignment="1">
      <x:alignment horizontal="center" wrapText="1"/>
    </x:xf>
    <x:xf numFmtId="0" fontId="11" fillId="61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/>
    <x:xf numFmtId="0" fontId="8" fillId="62" borderId="0" xfId="0" applyNumberFormat="1" applyFont="1" applyFill="1" applyBorder="1"/>
    <x:xf numFmtId="0" fontId="0" fillId="63" borderId="0" xfId="0" applyNumberFormat="1" applyFont="1" applyFill="1" applyBorder="1"/>
    <x:xf numFmtId="0" fontId="9" fillId="63" borderId="0" xfId="0" applyNumberFormat="1" applyFont="1" applyFill="1" applyBorder="1"/>
    <x:xf numFmtId="0" fontId="0" fillId="64" borderId="0" xfId="0" applyNumberFormat="1" applyFont="1" applyFill="1" applyBorder="1"/>
    <x:xf numFmtId="0" fontId="10" fillId="64" borderId="0" xfId="0" applyNumberFormat="1" applyFont="1" applyFill="1" applyBorder="1"/>
    <x:xf numFmtId="0" fontId="0" fillId="65" borderId="0" xfId="0" applyNumberFormat="1" applyFont="1" applyFill="1" applyBorder="1"/>
    <x:xf numFmtId="0" fontId="10" fillId="65" borderId="0" xfId="0" applyNumberFormat="1" applyFont="1" applyFill="1" applyBorder="1"/>
    <x:xf numFmtId="0" fontId="0" fillId="66" borderId="0" xfId="0" applyNumberFormat="1" applyFont="1" applyFill="1" applyBorder="1"/>
    <x:xf numFmtId="0" fontId="11" fillId="66" borderId="0" xfId="0" applyNumberFormat="1" applyFont="1" applyFill="1" applyBorder="1"/>
    <x:xf numFmtId="0" fontId="11" fillId="66" borderId="0" xfId="0" applyNumberFormat="1" applyFont="1" applyFill="1" applyBorder="1" applyAlignment="1">
      <x:alignment wrapText="1"/>
    </x:xf>
    <x:xf numFmtId="0" fontId="11" fillId="66" borderId="0" xfId="0" applyNumberFormat="1" applyFont="1" applyFill="1" applyBorder="1" applyAlignment="1">
      <x:alignment horizontal="center" wrapText="1"/>
    </x:xf>
    <x:xf numFmtId="0" fontId="11" fillId="6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5031da5754a72" /><Relationship Type="http://schemas.openxmlformats.org/officeDocument/2006/relationships/theme" Target="/xl/theme/theme1.xml" Id="R3c52fa2390d44c03" /><Relationship Type="http://schemas.openxmlformats.org/officeDocument/2006/relationships/sharedStrings" Target="/xl/sharedStrings.xml" Id="R050c119d7845424b" /><Relationship Type="http://schemas.openxmlformats.org/officeDocument/2006/relationships/worksheet" Target="/xl/worksheets/sheet1.xml" Id="R02f3fd11ef3c48f2" /><Relationship Type="http://schemas.openxmlformats.org/officeDocument/2006/relationships/worksheet" Target="/xl/worksheets/sheet2.xml" Id="R6b3da4fd6ae04b5e" /><Relationship Type="http://schemas.openxmlformats.org/officeDocument/2006/relationships/worksheet" Target="/xl/worksheets/sheet3.xml" Id="R03882f0e378645f4" /><Relationship Type="http://schemas.openxmlformats.org/officeDocument/2006/relationships/worksheet" Target="/xl/worksheets/sheet4.xml" Id="Rf12735ab576941c5" /><Relationship Type="http://schemas.openxmlformats.org/officeDocument/2006/relationships/worksheet" Target="/xl/worksheets/sheet5.xml" Id="R8c4381084605437a" /><Relationship Type="http://schemas.openxmlformats.org/officeDocument/2006/relationships/worksheet" Target="/xl/worksheets/sheet6.xml" Id="R40171dd41edf48aa" /><Relationship Type="http://schemas.openxmlformats.org/officeDocument/2006/relationships/worksheet" Target="/xl/worksheets/sheet7.xml" Id="R1075d7cc2a344b8f" /><Relationship Type="http://schemas.openxmlformats.org/officeDocument/2006/relationships/worksheet" Target="/xl/worksheets/sheet8.xml" Id="Recf727445e5140da" /><Relationship Type="http://schemas.openxmlformats.org/officeDocument/2006/relationships/worksheet" Target="/xl/worksheets/sheet9.xml" Id="R9bdaac4deaab44a0" /><Relationship Type="http://schemas.openxmlformats.org/officeDocument/2006/relationships/worksheet" Target="/xl/worksheets/sheet10.xml" Id="Rcfc3af932bc049b6" /><Relationship Type="http://schemas.openxmlformats.org/officeDocument/2006/relationships/worksheet" Target="/xl/worksheets/sheet11.xml" Id="R7fb0543ec42e4738" /><Relationship Type="http://schemas.openxmlformats.org/officeDocument/2006/relationships/worksheet" Target="/xl/worksheets/sheet12.xml" Id="R9cffaf2948cd45ed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8.xml><?xml version="1.0" encoding="utf-8"?>
<x:table xmlns:x="http://schemas.openxmlformats.org/spreadsheetml/2006/main" id="28" name="ActionQueue20261011" displayName="ActionQueue20261011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atch20261011" displayName="Watch20261011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Exclusions20261011" displayName="Exclusions20261011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1.xml><?xml version="1.0" encoding="utf-8"?>
<x:table xmlns:x="http://schemas.openxmlformats.org/spreadsheetml/2006/main" id="31" name="ActionQueue20261012" displayName="ActionQueue20261012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Watch20261012" displayName="Watch20261012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Exclusions20261012" displayName="Exclusions20261012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fcf74318fb4e49" /><Relationship Type="http://schemas.openxmlformats.org/officeDocument/2006/relationships/table" Target="/xl/tables/table2.xml" Id="R70bbef6132e546cd" /><Relationship Type="http://schemas.openxmlformats.org/officeDocument/2006/relationships/table" Target="/xl/tables/table3.xml" Id="R90a2bed695a44c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e9d33de0ca0475e" /><Relationship Type="http://schemas.openxmlformats.org/officeDocument/2006/relationships/table" Target="/xl/tables/table5.xml" Id="Rc5c7f7fbe1764bb9" /><Relationship Type="http://schemas.openxmlformats.org/officeDocument/2006/relationships/table" Target="/xl/tables/table6.xml" Id="R89ded4c1761c4b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2e24332f7ebd47b4" /><Relationship Type="http://schemas.openxmlformats.org/officeDocument/2006/relationships/table" Target="/xl/tables/table8.xml" Id="R618e4ac9c1ae450d" /><Relationship Type="http://schemas.openxmlformats.org/officeDocument/2006/relationships/table" Target="/xl/tables/table9.xml" Id="Reea446d56d3249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9c681fff1b8c406f" /><Relationship Type="http://schemas.openxmlformats.org/officeDocument/2006/relationships/table" Target="/xl/tables/table11.xml" Id="R145bb0ba90ec412d" /><Relationship Type="http://schemas.openxmlformats.org/officeDocument/2006/relationships/table" Target="/xl/tables/table12.xml" Id="R89597e60042b45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25a5e432660a4cfc" /><Relationship Type="http://schemas.openxmlformats.org/officeDocument/2006/relationships/table" Target="/xl/tables/table14.xml" Id="Rc25fe847e79046d7" /><Relationship Type="http://schemas.openxmlformats.org/officeDocument/2006/relationships/table" Target="/xl/tables/table15.xml" Id="R30f71eb367f44c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91a011dd2c214bc9" /><Relationship Type="http://schemas.openxmlformats.org/officeDocument/2006/relationships/table" Target="/xl/tables/table17.xml" Id="Rb20ae1ee96834d2b" /><Relationship Type="http://schemas.openxmlformats.org/officeDocument/2006/relationships/table" Target="/xl/tables/table18.xml" Id="R9c461088089e41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4bc75324e68b4bb6" /><Relationship Type="http://schemas.openxmlformats.org/officeDocument/2006/relationships/table" Target="/xl/tables/table20.xml" Id="R3c6ad31ef0c844e4" /><Relationship Type="http://schemas.openxmlformats.org/officeDocument/2006/relationships/table" Target="/xl/tables/table21.xml" Id="Rf23826baa34745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b0f73c3997a64a5a" /><Relationship Type="http://schemas.openxmlformats.org/officeDocument/2006/relationships/table" Target="/xl/tables/table23.xml" Id="Rbfec99e8015540a9" /><Relationship Type="http://schemas.openxmlformats.org/officeDocument/2006/relationships/table" Target="/xl/tables/table24.xml" Id="R4fec1a46abcd47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ac9b11f1d7484e7c" /><Relationship Type="http://schemas.openxmlformats.org/officeDocument/2006/relationships/table" Target="/xl/tables/table26.xml" Id="R412a362b023c4f7d" /><Relationship Type="http://schemas.openxmlformats.org/officeDocument/2006/relationships/table" Target="/xl/tables/table27.xml" Id="R283ee16225ed4c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fbccbb92c6a24e96" /><Relationship Type="http://schemas.openxmlformats.org/officeDocument/2006/relationships/table" Target="/xl/tables/table29.xml" Id="R82cd894fb2cb4e04" /><Relationship Type="http://schemas.openxmlformats.org/officeDocument/2006/relationships/table" Target="/xl/tables/table30.xml" Id="R233e4c2e7fd4462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1.xml" Id="R86db2d79fb6b4cfa" /><Relationship Type="http://schemas.openxmlformats.org/officeDocument/2006/relationships/table" Target="/xl/tables/table32.xml" Id="R699268b93ee1437a" /><Relationship Type="http://schemas.openxmlformats.org/officeDocument/2006/relationships/table" Target="/xl/tables/table33.xml" Id="R960422662bbb43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86fcf74318fb4e49"/>
    <x:tablePart xmlns:r="http://schemas.openxmlformats.org/officeDocument/2006/relationships" r:id="R70bbef6132e546cd"/>
    <x:tablePart xmlns:r="http://schemas.openxmlformats.org/officeDocument/2006/relationships" r:id="R90a2bed695a44c2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6e9d33de0ca0475e"/>
    <x:tablePart xmlns:r="http://schemas.openxmlformats.org/officeDocument/2006/relationships" r:id="Rc5c7f7fbe1764bb9"/>
    <x:tablePart xmlns:r="http://schemas.openxmlformats.org/officeDocument/2006/relationships" r:id="R89ded4c1761c4b3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2e24332f7ebd47b4"/>
    <x:tablePart xmlns:r="http://schemas.openxmlformats.org/officeDocument/2006/relationships" r:id="R618e4ac9c1ae450d"/>
    <x:tablePart xmlns:r="http://schemas.openxmlformats.org/officeDocument/2006/relationships" r:id="Reea446d56d3249c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9c681fff1b8c406f"/>
    <x:tablePart xmlns:r="http://schemas.openxmlformats.org/officeDocument/2006/relationships" r:id="R145bb0ba90ec412d"/>
    <x:tablePart xmlns:r="http://schemas.openxmlformats.org/officeDocument/2006/relationships" r:id="R89597e60042b457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25a5e432660a4cfc"/>
    <x:tablePart xmlns:r="http://schemas.openxmlformats.org/officeDocument/2006/relationships" r:id="Rc25fe847e79046d7"/>
    <x:tablePart xmlns:r="http://schemas.openxmlformats.org/officeDocument/2006/relationships" r:id="R30f71eb367f44c5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91a011dd2c214bc9"/>
    <x:tablePart xmlns:r="http://schemas.openxmlformats.org/officeDocument/2006/relationships" r:id="Rb20ae1ee96834d2b"/>
    <x:tablePart xmlns:r="http://schemas.openxmlformats.org/officeDocument/2006/relationships" r:id="R9c461088089e41a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4bc75324e68b4bb6"/>
    <x:tablePart xmlns:r="http://schemas.openxmlformats.org/officeDocument/2006/relationships" r:id="R3c6ad31ef0c844e4"/>
    <x:tablePart xmlns:r="http://schemas.openxmlformats.org/officeDocument/2006/relationships" r:id="Rf23826baa34745b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b0f73c3997a64a5a"/>
    <x:tablePart xmlns:r="http://schemas.openxmlformats.org/officeDocument/2006/relationships" r:id="Rbfec99e8015540a9"/>
    <x:tablePart xmlns:r="http://schemas.openxmlformats.org/officeDocument/2006/relationships" r:id="R4fec1a46abcd474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ac9b11f1d7484e7c"/>
    <x:tablePart xmlns:r="http://schemas.openxmlformats.org/officeDocument/2006/relationships" r:id="R412a362b023c4f7d"/>
    <x:tablePart xmlns:r="http://schemas.openxmlformats.org/officeDocument/2006/relationships" r:id="R283ee16225ed4c0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11, 2026 | Report-only | Targeted public-source coverage; not universal MSA or statewide coverage</x:v>
      </x:c>
    </x:row>
    <x:row r="4">
      <x:c r="A4" s="212" t="str">
        <x:v>Action queue</x:v>
      </x:c>
      <x:c r="B4" s="214" t="str">
        <x:v>6 leads</x:v>
      </x:c>
      <x:c r="D4" s="212" t="str">
        <x:v>Watch 65–74</x:v>
      </x:c>
      <x:c r="E4" s="214" t="str">
        <x:v>17 leads</x:v>
      </x:c>
    </x:row>
    <x:row r="5">
      <x:c r="A5" s="212" t="str">
        <x:v>Priority 85+</x:v>
      </x:c>
      <x:c r="B5" s="214" t="str">
        <x:v>None</x:v>
      </x:c>
      <x:c r="D5" s="212" t="str">
        <x:v>Excluded</x:v>
      </x:c>
      <x:c r="E5" s="214" t="str">
        <x:v>11 items/categories</x:v>
      </x:c>
    </x:row>
    <x:row r="6">
      <x:c r="A6" s="212" t="str">
        <x:v>Qualified 75–84</x:v>
      </x:c>
      <x:c r="B6" s="214" t="str">
        <x:v>6</x:v>
      </x:c>
      <x:c r="D6" s="212" t="str">
        <x:v>$10M Gate</x:v>
      </x:c>
      <x:c r="E6" s="214" t="str">
        <x:v>Required</x:v>
      </x:c>
    </x:row>
    <x:row r="7">
      <x:c r="A7" s="212" t="str">
        <x:v>New qualified leads</x:v>
      </x:c>
      <x:c r="B7" s="214" t="str">
        <x:v>0</x:v>
      </x:c>
      <x:c r="D7" s="212" t="str">
        <x:v>Outreach</x:v>
      </x:c>
      <x:c r="E7" s="214" t="str">
        <x:v>Named-lead approval required</x:v>
      </x:c>
    </x:row>
    <x:row r="9" ht="40" customHeight="1">
      <x:c r="A9" s="223" t="str">
        <x:v>Lead ID</x:v>
      </x:c>
      <x:c r="B9" s="223" t="str">
        <x:v>Status</x:v>
      </x:c>
      <x:c r="C9" s="223" t="str">
        <x:v>Classification</x:v>
      </x:c>
      <x:c r="D9" s="223" t="str">
        <x:v>$10M Gate</x:v>
      </x:c>
      <x:c r="E9" s="223" t="str">
        <x:v>Asset / Address</x:v>
      </x:c>
      <x:c r="F9" s="223" t="str">
        <x:v>MSA</x:v>
      </x:c>
      <x:c r="G9" s="223" t="str">
        <x:v>Units</x:v>
      </x:c>
      <x:c r="H9" s="223" t="str">
        <x:v>Owner / Broker</x:v>
      </x:c>
      <x:c r="I9" s="223" t="str">
        <x:v>Observed facts</x:v>
      </x:c>
      <x:c r="J9" s="223" t="str">
        <x:v>Inference</x:v>
      </x:c>
      <x:c r="K9" s="223" t="str">
        <x:v>Counterargument</x:v>
      </x:c>
      <x:c r="L9" s="223" t="str">
        <x:v>Sale process 35</x:v>
      </x:c>
      <x:c r="M9" s="223" t="str">
        <x:v>Capital event 20</x:v>
      </x:c>
      <x:c r="N9" s="223" t="str">
        <x:v>Fit 15</x:v>
      </x:c>
      <x:c r="O9" s="223" t="str">
        <x:v>Execution 10</x:v>
      </x:c>
      <x:c r="P9" s="223" t="str">
        <x:v>Evidence 15</x:v>
      </x:c>
      <x:c r="Q9" s="223" t="str">
        <x:v>Contacts 5</x:v>
      </x:c>
      <x:c r="R9" s="223" t="str">
        <x:v>Score</x:v>
      </x:c>
      <x:c r="S9" s="223" t="str">
        <x:v>Sources / dates</x:v>
      </x:c>
      <x:c r="T9" s="223" t="str">
        <x:v>Verified public contact</x:v>
      </x:c>
      <x:c r="U9" s="223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Last Tier 1 direct observation Oct. 10: Active, $40.2M, 309 apartments, 8,130 SF ground-floor commercial space,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Last Tier 1 direct observation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Last Tier 1 direct observation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Last Tier 1 direct observation Oct. 10: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Last Tier 1 direct observation Oct. 10: $12M,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continue to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result Oct. 11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16" t="str">
        <x:v>Watch — 65–74: evidence or product gates still open</x:v>
      </x:c>
    </x:row>
    <x:row r="18" ht="40" customHeight="1">
      <x:c r="A18" s="223" t="str">
        <x:v>Lead ID</x:v>
      </x:c>
      <x:c r="B18" s="223" t="str">
        <x:v>Classification</x:v>
      </x:c>
      <x:c r="C18" s="223" t="str">
        <x:v>Asset / MSA</x:v>
      </x:c>
      <x:c r="D18" s="223" t="str">
        <x:v>Score</x:v>
      </x:c>
      <x:c r="E18" s="223" t="str">
        <x:v>Reason held</x:v>
      </x:c>
      <x:c r="F18" s="223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18" t="str">
        <x:v>Excluded and coverage gaps</x:v>
      </x:c>
    </x:row>
    <x:row r="38" ht="40" customHeight="1">
      <x:c r="A38" s="223" t="str">
        <x:v>Item</x:v>
      </x:c>
      <x:c r="B38" s="223" t="str">
        <x:v>Classification</x:v>
      </x:c>
      <x:c r="C38" s="223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fbccbb92c6a24e96"/>
    <x:tablePart xmlns:r="http://schemas.openxmlformats.org/officeDocument/2006/relationships" r:id="R82cd894fb2cb4e04"/>
    <x:tablePart xmlns:r="http://schemas.openxmlformats.org/officeDocument/2006/relationships" r:id="R233e4c2e7fd4462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12, 2026 | Report-only | Targeted public-source coverage; not universal MSA or statewide coverage</x:v>
      </x:c>
    </x:row>
    <x:row r="4">
      <x:c r="A4" s="225" t="str">
        <x:v>Action queue</x:v>
      </x:c>
      <x:c r="B4" s="227" t="str">
        <x:v>6 leads</x:v>
      </x:c>
      <x:c r="D4" s="225" t="str">
        <x:v>Watch 65–74</x:v>
      </x:c>
      <x:c r="E4" s="227" t="str">
        <x:v>17 leads</x:v>
      </x:c>
    </x:row>
    <x:row r="5">
      <x:c r="A5" s="225" t="str">
        <x:v>Priority 85+</x:v>
      </x:c>
      <x:c r="B5" s="227" t="str">
        <x:v>None</x:v>
      </x:c>
      <x:c r="D5" s="225" t="str">
        <x:v>Excluded</x:v>
      </x:c>
      <x:c r="E5" s="227" t="str">
        <x:v>12 items/categories</x:v>
      </x:c>
    </x:row>
    <x:row r="6">
      <x:c r="A6" s="225" t="str">
        <x:v>Qualified 75–84</x:v>
      </x:c>
      <x:c r="B6" s="227" t="str">
        <x:v>6</x:v>
      </x:c>
      <x:c r="D6" s="225" t="str">
        <x:v>$10M Gate</x:v>
      </x:c>
      <x:c r="E6" s="227" t="str">
        <x:v>Required</x:v>
      </x:c>
    </x:row>
    <x:row r="7">
      <x:c r="A7" s="225" t="str">
        <x:v>New qualified leads</x:v>
      </x:c>
      <x:c r="B7" s="227" t="str">
        <x:v>0</x:v>
      </x:c>
      <x:c r="D7" s="225" t="str">
        <x:v>Outreach</x:v>
      </x:c>
      <x:c r="E7" s="227" t="str">
        <x:v>Named-lead approval required</x:v>
      </x:c>
    </x:row>
    <x:row r="9" ht="40" customHeight="1">
      <x:c r="A9" s="236" t="str">
        <x:v>Lead ID</x:v>
      </x:c>
      <x:c r="B9" s="236" t="str">
        <x:v>Status</x:v>
      </x:c>
      <x:c r="C9" s="236" t="str">
        <x:v>Classification</x:v>
      </x:c>
      <x:c r="D9" s="236" t="str">
        <x:v>$10M Gate</x:v>
      </x:c>
      <x:c r="E9" s="236" t="str">
        <x:v>Asset / Address</x:v>
      </x:c>
      <x:c r="F9" s="236" t="str">
        <x:v>MSA</x:v>
      </x:c>
      <x:c r="G9" s="236" t="str">
        <x:v>Units</x:v>
      </x:c>
      <x:c r="H9" s="236" t="str">
        <x:v>Owner / Broker</x:v>
      </x:c>
      <x:c r="I9" s="236" t="str">
        <x:v>Observed facts</x:v>
      </x:c>
      <x:c r="J9" s="236" t="str">
        <x:v>Inference</x:v>
      </x:c>
      <x:c r="K9" s="236" t="str">
        <x:v>Counterargument</x:v>
      </x:c>
      <x:c r="L9" s="236" t="str">
        <x:v>Sale process 35</x:v>
      </x:c>
      <x:c r="M9" s="236" t="str">
        <x:v>Capital event 20</x:v>
      </x:c>
      <x:c r="N9" s="236" t="str">
        <x:v>Fit 15</x:v>
      </x:c>
      <x:c r="O9" s="236" t="str">
        <x:v>Execution 10</x:v>
      </x:c>
      <x:c r="P9" s="236" t="str">
        <x:v>Evidence 15</x:v>
      </x:c>
      <x:c r="Q9" s="236" t="str">
        <x:v>Contacts 5</x:v>
      </x:c>
      <x:c r="R9" s="236" t="str">
        <x:v>Score</x:v>
      </x:c>
      <x:c r="S9" s="236" t="str">
        <x:v>Sources / dates</x:v>
      </x:c>
      <x:c r="T9" s="236" t="str">
        <x:v>Verified public contact</x:v>
      </x:c>
      <x:c r="U9" s="236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observed Oct. 10: Active, $40.2M, 309 apartments, 8,130 SF ground-floor commercial,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observed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observed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observed Oct. 10: $11.2M, 32 units, 6.44%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observed Oct. 10: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 search confirmed Oct. 12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29" t="str">
        <x:v>Watch — 65–74: evidence or product gates still open</x:v>
      </x:c>
    </x:row>
    <x:row r="18" ht="40" customHeight="1">
      <x:c r="A18" s="236" t="str">
        <x:v>Lead ID</x:v>
      </x:c>
      <x:c r="B18" s="236" t="str">
        <x:v>Classification</x:v>
      </x:c>
      <x:c r="C18" s="236" t="str">
        <x:v>Asset / MSA</x:v>
      </x:c>
      <x:c r="D18" s="236" t="str">
        <x:v>Score</x:v>
      </x:c>
      <x:c r="E18" s="236" t="str">
        <x:v>Reason held</x:v>
      </x:c>
      <x:c r="F18" s="236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31" t="str">
        <x:v>Excluded and coverage gaps</x:v>
      </x:c>
    </x:row>
    <x:row r="38" ht="40" customHeight="1">
      <x:c r="A38" s="236" t="str">
        <x:v>Item</x:v>
      </x:c>
      <x:c r="B38" s="236" t="str">
        <x:v>Classification</x:v>
      </x:c>
      <x:c r="C38" s="236" t="str">
        <x:v>Exclusion reason</x:v>
      </x:c>
    </x:row>
    <x:row r="39" ht="38" customHeight="1">
      <x:c r="A39" s="100" t="str">
        <x:v>New LA search hits</x:v>
      </x:c>
      <x:c r="B39" s="100" t="str">
        <x:v>Excluded</x:v>
      </x:c>
      <x:c r="C39" s="100" t="str">
        <x:v>3217 S Central is explicitly TOC affordable; 743–749 Gramercy is uncompleted new construction. Neither clears the primary queue.</x:v>
      </x:c>
    </x:row>
    <x:row r="40" ht="38" customHeight="1">
      <x:c r="A40" s="100" t="str">
        <x:v>New Chicago search hits</x:v>
      </x:c>
      <x:c r="B40" s="100" t="str">
        <x:v>Excluded</x:v>
      </x:c>
      <x:c r="C40" s="100" t="str">
        <x:v>Greater Chatham Portfolio’s public excerpt identifies availability but no current ask, debt, or regulatory clearance; no promotion.</x:v>
      </x:c>
    </x:row>
    <x:row r="41" ht="38" customHeight="1">
      <x:c r="A41" s="100" t="str">
        <x:v>Reside on Jackson, Chicago</x:v>
      </x:c>
      <x:c r="B41" s="100" t="str">
        <x:v>Excluded</x:v>
      </x:c>
      <x:c r="C41" s="100" t="str">
        <x:v>$24.7M five-year Fannie refinance is closed; no public sale process or unresolved financing catalyst.</x:v>
      </x:c>
    </x:row>
    <x:row r="42" ht="38" customHeight="1">
      <x:c r="A42" s="100" t="str">
        <x:v>Verso Luxury, Davenport / Orlando MSA</x:v>
      </x:c>
      <x:c r="B42" s="100" t="str">
        <x:v>Excluded</x:v>
      </x:c>
      <x:c r="C42" s="100" t="str">
        <x:v>$57M acquisition and $40.5M loan are closed; no current sale process or capital need verified.</x:v>
      </x:c>
    </x:row>
    <x:row r="43" ht="38" customHeight="1">
      <x:c r="A43" s="100" t="str">
        <x:v>The Marling at Town Creek, Leland / Wilmington MSA</x:v>
      </x:c>
      <x:c r="B43" s="100" t="str">
        <x:v>Excluded</x:v>
      </x:c>
      <x:c r="C43" s="100" t="str">
        <x:v>$57.7M acquisition closed; no current sale process verified.</x:v>
      </x:c>
    </x:row>
    <x:row r="44" ht="38" customHeight="1">
      <x:c r="A44" s="100" t="str">
        <x:v>Blue Station, Blue Island / Chicago MSA</x:v>
      </x:c>
      <x:c r="B44" s="100" t="str">
        <x:v>Excluded</x:v>
      </x:c>
      <x:c r="C44" s="100" t="str">
        <x:v>$22M sale closed.</x:v>
      </x:c>
    </x:row>
    <x:row r="45" ht="38" customHeight="1">
      <x:c r="A45" s="100" t="str">
        <x:v>Belle on Bev, Los Angeles</x:v>
      </x:c>
      <x:c r="B45" s="100" t="str">
        <x:v>Excluded</x:v>
      </x:c>
      <x:c r="C45" s="100" t="str">
        <x:v>Completed recapitalization; materially mixed retail, entertainment, and bar uses.</x:v>
      </x:c>
    </x:row>
    <x:row r="46" ht="38" customHeight="1">
      <x:c r="A46" s="100" t="str">
        <x:v>836–838 N. Broad, Philadelphia</x:v>
      </x:c>
      <x:c r="B46" s="100" t="str">
        <x:v>Excluded</x:v>
      </x:c>
      <x:c r="C46" s="100" t="str">
        <x:v>PHA-supported income and commercial component require regulatory and residential-income treatment confirmation.</x:v>
      </x:c>
    </x:row>
    <x:row r="47" ht="38" customHeight="1">
      <x:c r="A47" s="100" t="str">
        <x:v>Avondale Apartments, Philadelphia</x:v>
      </x:c>
      <x:c r="B47" s="100" t="str">
        <x:v>Excluded</x:v>
      </x:c>
      <x:c r="C47" s="100" t="str">
        <x:v>Income-restricted; outside primary queue.</x:v>
      </x:c>
    </x:row>
    <x:row r="48" ht="38" customHeight="1">
      <x:c r="A48" s="100" t="str">
        <x:v>727 Collins Ave., Miami Beach</x:v>
      </x:c>
      <x:c r="B48" s="100" t="str">
        <x:v>Excluded</x:v>
      </x:c>
      <x:c r="C48" s="100" t="str">
        <x:v>Hospitality master lease plus retail footprint makes it materially mixed.</x:v>
      </x:c>
    </x:row>
    <x:row r="49" ht="38" customHeight="1">
      <x:c r="A49" s="100" t="str">
        <x:v>430 &amp; 499 E. 8th St., Brooklyn</x:v>
      </x:c>
      <x:c r="B49" s="100" t="str">
        <x:v>Excluded</x:v>
      </x:c>
      <x:c r="C49" s="100" t="str">
        <x:v>Current $15M refinance is expressly rent-stabilized.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86db2d79fb6b4cfa"/>
    <x:tablePart xmlns:r="http://schemas.openxmlformats.org/officeDocument/2006/relationships" r:id="R699268b93ee1437a"/>
    <x:tablePart xmlns:r="http://schemas.openxmlformats.org/officeDocument/2006/relationships" r:id="R960422662bbb4333"/>
  </x:tableParts>
</x:worksheet>
</file>