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840026c4b94776" /></Relationships>
</file>

<file path=xl/workbook.xml><?xml version="1.0" encoding="utf-8"?>
<x:workbook xmlns:x="http://schemas.openxmlformats.org/spreadsheetml/2006/main">
  <x:sheets>
    <x:sheet xmlns:r="http://schemas.openxmlformats.org/officeDocument/2006/relationships" name="Summary" sheetId="1" r:id="Rc3897a6150884a67"/>
    <x:sheet xmlns:r="http://schemas.openxmlformats.org/officeDocument/2006/relationships" name="Action Queue" sheetId="2" r:id="R8fa2239938fe4e86"/>
    <x:sheet xmlns:r="http://schemas.openxmlformats.org/officeDocument/2006/relationships" name="Watch" sheetId="3" r:id="R28e06f53062c4ce0"/>
    <x:sheet xmlns:r="http://schemas.openxmlformats.org/officeDocument/2006/relationships" name="Exclusions" sheetId="4" r:id="R0b5176136e264af0"/>
    <x:sheet xmlns:r="http://schemas.openxmlformats.org/officeDocument/2006/relationships" name="Coverage &amp; Sources" sheetId="5" r:id="R9d8cf2d9d595421c"/>
    <x:sheet xmlns:r="http://schemas.openxmlformats.org/officeDocument/2006/relationships" name="Run 2026-08-30" sheetId="6" r:id="Rdfd7ba866c9146eb"/>
    <x:sheet xmlns:r="http://schemas.openxmlformats.org/officeDocument/2006/relationships" name="Run 2026-08-31" sheetId="7" r:id="Rc73898fc49334577"/>
    <x:sheet xmlns:r="http://schemas.openxmlformats.org/officeDocument/2006/relationships" name="Run 2026-09-01" sheetId="8" r:id="R7560ceaac8ec4077"/>
    <x:sheet xmlns:r="http://schemas.openxmlformats.org/officeDocument/2006/relationships" name="Run 2026-09-02" sheetId="9" r:id="Rb9327e83528543ac"/>
    <x:sheet xmlns:r="http://schemas.openxmlformats.org/officeDocument/2006/relationships" name="Run 2026-09-03" sheetId="10" r:id="R86220e62427645d2"/>
    <x:sheet xmlns:r="http://schemas.openxmlformats.org/officeDocument/2006/relationships" name="Run 2026-09-04" sheetId="11" r:id="Rd6a6746ee4d445ee"/>
    <x:sheet xmlns:r="http://schemas.openxmlformats.org/officeDocument/2006/relationships" name="Run 2026-09-05" sheetId="12" r:id="R14a5b79c8dcb40f2"/>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quot;$&quot;#,##0;[Red](&quot;$&quot;#,##0);-"/>
    <x:numFmt numFmtId="202" formatCode="yyyy-mm-dd"/>
    <x:numFmt numFmtId="203" formatCode="$#,##0;[Red]($#,##0);-"/>
    <x:numFmt numFmtId="204" formatCode="0"/>
  </x:numFmts>
  <x:fonts count="8">
    <x:font>
      <x:sz val="11"/>
      <x:name val="Carlito"/>
    </x:font>
    <x:font>
      <x:b/>
      <x:sz val="16"/>
      <x:color rgb="FFFFFFFF"/>
      <x:name val="Carlito"/>
    </x:font>
    <x:font>
      <x:i/>
      <x:sz val="11"/>
      <x:color rgb="FF374151"/>
      <x:name val="Carlito"/>
    </x:font>
    <x:font>
      <x:b/>
      <x:sz val="11"/>
      <x:color rgb="FFFFFFFF"/>
      <x:name val="Carlito"/>
    </x:font>
    <x:font>
      <x:b/>
      <x:sz val="15"/>
      <x:color rgb="FFFFFFFF"/>
      <x:name val="Carlito"/>
    </x:font>
    <x:font>
      <x:i/>
      <x:sz val="11"/>
      <x:color rgb="FF102A43"/>
      <x:name val="Carlito"/>
    </x:font>
    <x:font>
      <x:b/>
      <x:sz val="11"/>
      <x:name val="Carlito"/>
    </x:font>
    <x:font>
      <x:b/>
      <x:sz val="11"/>
      <x:color rgb="FF102A43"/>
      <x:name val="Carlito"/>
    </x:font>
  </x:fonts>
  <x:fills count="51">
    <x:fill>
      <x:patternFill patternType="none"/>
    </x:fill>
    <x:fill>
      <x:patternFill patternType="gray125"/>
    </x:fill>
    <x:fill>
      <x:patternFill patternType="solid">
        <x:fgColor rgb="FF102A43"/>
      </x:patternFill>
    </x:fill>
    <x:fill>
      <x:patternFill patternType="solid">
        <x:fgColor rgb="FFE8F1F8"/>
      </x:patternFill>
    </x:fill>
    <x:fill>
      <x:patternFill patternType="solid">
        <x:fgColor rgb="FF1F5A8A"/>
      </x:patternFill>
    </x:fill>
    <x:fill>
      <x:patternFill patternType="solid">
        <x:fgColor rgb="FFFFF4CC"/>
      </x:patternFill>
    </x:fill>
    <x:fill>
      <x:patternFill patternType="solid">
        <x:fgColor rgb="FFE8F5E9"/>
      </x:patternFill>
    </x:fill>
    <x:fill>
      <x:patternFill patternType="solid">
        <x:fgColor rgb="FFFDECEC"/>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FCE4D6"/>
      </x:patternFill>
    </x:fill>
    <x:fill>
      <x:patternFill patternType="solid">
        <x:fgColor rgb="FF102A43"/>
      </x:patternFill>
    </x:fill>
    <x:fill>
      <x:patternFill patternType="solid">
        <x:fgColor rgb="FFEAF2F8"/>
      </x:patternFill>
    </x:fill>
    <x:fill>
      <x:patternFill patternType="solid">
        <x:fgColor rgb="FF486581"/>
      </x:patternFill>
    </x:fill>
    <x:fill>
      <x:patternFill patternType="solid">
        <x:fgColor rgb="FFF3F4F6"/>
      </x:patternFill>
    </x:fill>
    <x:fill>
      <x:patternFill patternType="solid">
        <x:fgColor rgb="FFD9EAD3"/>
      </x:patternFill>
    </x:fill>
    <x:fill>
      <x:patternFill patternType="solid">
        <x:fgColor rgb="FF8A6D1D"/>
      </x:patternFill>
    </x:fill>
    <x:fill>
      <x:patternFill patternType="solid">
        <x:fgColor rgb="FFFFF2CC"/>
      </x:patternFill>
    </x:fill>
    <x:fill>
      <x:patternFill patternType="solid">
        <x:fgColor rgb="FF9B3A1D"/>
      </x:patternFill>
    </x:fill>
    <x:fill>
      <x:patternFill patternType="solid">
        <x:fgColor rgb="FFFCE4D6"/>
      </x:patternFill>
    </x:fill>
    <x:fill>
      <x:patternFill patternType="solid">
        <x:fgColor rgb="FF102A43"/>
      </x:patternFill>
    </x:fill>
    <x:fill>
      <x:patternFill patternType="solid">
        <x:fgColor rgb="FFEAF2F8"/>
      </x:patternFill>
    </x:fill>
    <x:fill>
      <x:patternFill patternType="solid">
        <x:fgColor rgb="FF486581"/>
      </x:patternFill>
    </x:fill>
    <x:fill>
      <x:patternFill patternType="solid">
        <x:fgColor rgb="FFF3F4F6"/>
      </x:patternFill>
    </x:fill>
    <x:fill>
      <x:patternFill patternType="solid">
        <x:fgColor rgb="FFD9EAD3"/>
      </x:patternFill>
    </x:fill>
    <x:fill>
      <x:patternFill patternType="solid">
        <x:fgColor rgb="FF8A6D1D"/>
      </x:patternFill>
    </x:fill>
    <x:fill>
      <x:patternFill patternType="solid">
        <x:fgColor rgb="FFFFF2CC"/>
      </x:patternFill>
    </x:fill>
    <x:fill>
      <x:patternFill patternType="solid">
        <x:fgColor rgb="FF9B3A1D"/>
      </x:patternFill>
    </x:fill>
    <x:fill>
      <x:patternFill patternType="solid">
        <x:fgColor rgb="FFFCE4D6"/>
      </x:patternFill>
    </x:fill>
  </x:fills>
  <x:borders count="22">
    <x:border/>
    <x:border>
      <x:left style="thin">
        <x:color rgb="FF7B8794"/>
      </x:left>
      <x:top style="thin">
        <x:color rgb="FF7B8794"/>
      </x:top>
      <x:bottom style="thin">
        <x:color rgb="FF7B8794"/>
      </x:bottom>
    </x:border>
    <x:border>
      <x:right style="thin">
        <x:color rgb="FF7B8794"/>
      </x:right>
      <x:top style="thin">
        <x:color rgb="FF7B8794"/>
      </x:top>
      <x:bottom style="thin">
        <x:color rgb="FF7B8794"/>
      </x:bottom>
    </x:border>
    <x:border>
      <x:left style="thin">
        <x:color rgb="FF7B8794"/>
      </x:left>
      <x:right style="thin">
        <x:color rgb="FFD9E2EC"/>
      </x:right>
      <x:top style="thin">
        <x:color rgb="FF7B8794"/>
      </x:top>
      <x:bottom style="thin">
        <x:color rgb="FFD9E2EC"/>
      </x:bottom>
    </x:border>
    <x:border>
      <x:left style="thin">
        <x:color rgb="FFD9E2EC"/>
      </x:left>
      <x:top style="thin">
        <x:color rgb="FF7B8794"/>
      </x:top>
      <x:bottom style="thin">
        <x:color rgb="FFD9E2EC"/>
      </x:bottom>
    </x:border>
    <x:border>
      <x:left style="thin">
        <x:color rgb="FF7B8794"/>
      </x:left>
      <x:right style="thin">
        <x:color rgb="FFD9E2EC"/>
      </x:right>
      <x:top style="thin">
        <x:color rgb="FFD9E2EC"/>
      </x:top>
      <x:bottom style="thin">
        <x:color rgb="FFD9E2EC"/>
      </x:bottom>
    </x:border>
    <x:border>
      <x:left style="thin">
        <x:color rgb="FFD9E2EC"/>
      </x:left>
      <x:top style="thin">
        <x:color rgb="FFD9E2EC"/>
      </x:top>
      <x:bottom style="thin">
        <x:color rgb="FFD9E2EC"/>
      </x:bottom>
    </x:border>
    <x:border>
      <x:left style="thin">
        <x:color rgb="FF7B8794"/>
      </x:left>
      <x:right style="thin">
        <x:color rgb="FFD9E2EC"/>
      </x:right>
      <x:top style="thin">
        <x:color rgb="FFD9E2EC"/>
      </x:top>
      <x:bottom style="thin">
        <x:color rgb="FF7B8794"/>
      </x:bottom>
    </x:border>
    <x:border>
      <x:left style="thin">
        <x:color rgb="FFD9E2EC"/>
      </x:left>
      <x:top style="thin">
        <x:color rgb="FFD9E2EC"/>
      </x:top>
      <x:bottom style="thin">
        <x:color rgb="FF7B8794"/>
      </x:bottom>
    </x:border>
    <x:border>
      <x:top style="thin">
        <x:color rgb="FF7B8794"/>
      </x:top>
      <x:bottom style="thin">
        <x:color rgb="FF7B8794"/>
      </x:bottom>
    </x:border>
    <x:border>
      <x:left style="thin">
        <x:color rgb="FFD9E2EC"/>
      </x:left>
      <x:right style="thin">
        <x:color rgb="FFD9E2EC"/>
      </x:right>
      <x:top style="thin">
        <x:color rgb="FF7B8794"/>
      </x:top>
      <x:bottom style="thin">
        <x:color rgb="FFD9E2EC"/>
      </x:bottom>
    </x:border>
    <x:border>
      <x:left style="thin">
        <x:color rgb="FFD9E2EC"/>
      </x:left>
      <x:right style="thin">
        <x:color rgb="FFD9E2EC"/>
      </x:right>
      <x:top style="thin">
        <x:color rgb="FFD9E2EC"/>
      </x:top>
      <x:bottom style="thin">
        <x:color rgb="FFD9E2EC"/>
      </x:bottom>
    </x:border>
    <x:border>
      <x:left style="thin">
        <x:color rgb="FFD9E2EC"/>
      </x:left>
      <x:right style="thin">
        <x:color rgb="FFD9E2EC"/>
      </x:right>
      <x:top style="thin">
        <x:color rgb="FFD9E2EC"/>
      </x:top>
      <x:bottom style="thin">
        <x:color rgb="FF7B8794"/>
      </x:bottom>
    </x:border>
    <x:border>
      <x:left style="thin">
        <x:color rgb="FFD9E2F3"/>
      </x:left>
      <x:right style="thin">
        <x:color rgb="FFD9E2F3"/>
      </x:right>
      <x:top style="thin">
        <x:color rgb="FFD9E2F3"/>
      </x:top>
      <x:bottom style="thin">
        <x:color rgb="FFD9E2F3"/>
      </x:bottom>
    </x:border>
    <x:border>
      <x:left style="thin">
        <x:color rgb="FFD9E2EC"/>
      </x:left>
      <x:top style="thin">
        <x:color rgb="FFD9E2EC"/>
      </x:top>
    </x:border>
    <x:border>
      <x:top style="thin">
        <x:color rgb="FFD9E2EC"/>
      </x:top>
    </x:border>
    <x:border>
      <x:right style="thin">
        <x:color rgb="FFD9E2EC"/>
      </x:right>
      <x:top style="thin">
        <x:color rgb="FFD9E2EC"/>
      </x:top>
    </x:border>
    <x:border>
      <x:left style="thin">
        <x:color rgb="FFD9E2EC"/>
      </x:left>
      <x:bottom style="thin">
        <x:color rgb="FFD9E2EC"/>
      </x:bottom>
    </x:border>
    <x:border>
      <x:bottom style="thin">
        <x:color rgb="FFD9E2EC"/>
      </x:bottom>
    </x:border>
    <x:border>
      <x:right style="thin">
        <x:color rgb="FFD9E2EC"/>
      </x:right>
      <x:bottom style="thin">
        <x:color rgb="FFD9E2EC"/>
      </x:bottom>
    </x:border>
    <x:border>
      <x:top style="thin">
        <x:color rgb="FFD9E2EC"/>
      </x:top>
      <x:bottom style="thin">
        <x:color rgb="FFD9E2EC"/>
      </x:bottom>
    </x:border>
    <x:border>
      <x:right style="thin">
        <x:color rgb="FFD9E2EC"/>
      </x:right>
      <x:top style="thin">
        <x:color rgb="FFD9E2EC"/>
      </x:top>
      <x:bottom style="thin">
        <x:color rgb="FFD9E2EC"/>
      </x:bottom>
    </x:border>
  </x:borders>
  <x:cellStyleXfs count="1">
    <x:xf numFmtId="0" fontId="0" fillId="0" borderId="0"/>
  </x:cellStyleXfs>
  <x:cellXfs count="32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3" fillId="4" borderId="1" xfId="0" applyNumberFormat="1" applyFont="1" applyFill="1" applyBorder="1" applyAlignment="1">
      <x:alignment horizontal="center" vertical="top" wrapText="1"/>
    </x:xf>
    <x:xf numFmtId="0" fontId="3" fillId="4" borderId="2"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4" borderId="3" xfId="0" applyNumberFormat="1" applyFont="1" applyFill="1" applyBorder="1" applyAlignment="1">
      <x:alignment horizontal="center" vertical="top" wrapText="1"/>
    </x:xf>
    <x:xf numFmtId="0" fontId="3" fillId="4" borderId="4" xfId="0" applyNumberFormat="1" applyFont="1" applyFill="1" applyBorder="1" applyAlignment="1">
      <x:alignment horizontal="center"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3" fillId="4" borderId="9" xfId="0" applyNumberFormat="1" applyFont="1" applyFill="1" applyBorder="1"/>
    <x:xf numFmtId="0" fontId="3" fillId="4" borderId="9" xfId="0" applyNumberFormat="1" applyFont="1" applyFill="1" applyBorder="1" applyAlignment="1">
      <x:alignment wrapText="1"/>
    </x:xf>
    <x:xf numFmtId="0" fontId="3" fillId="4" borderId="9" xfId="0" applyNumberFormat="1" applyFont="1" applyFill="1" applyBorder="1" applyAlignment="1">
      <x:alignment horizontal="center" wrapText="1"/>
    </x:xf>
    <x:xf numFmtId="0" fontId="3" fillId="4" borderId="9"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top" wrapText="1"/>
    </x:xf>
    <x:xf numFmtId="0" fontId="3" fillId="4" borderId="10" xfId="0" applyNumberFormat="1" applyFont="1" applyFill="1" applyBorder="1" applyAlignment="1">
      <x:alignment horizontal="center"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3" fillId="2"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200" fontId="0" fillId="0" borderId="6"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2"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202" fontId="0" fillId="0" borderId="12" xfId="0" applyNumberFormat="1" applyFont="1" applyFill="1" applyBorder="1" applyAlignment="1">
      <x:alignment vertical="top" wrapText="1"/>
    </x:xf>
    <x:xf numFmtId="200" fontId="0" fillId="6" borderId="11" xfId="0" applyNumberFormat="1" applyFont="1" applyFill="1" applyBorder="1" applyAlignment="1">
      <x:alignment vertical="top" wrapText="1"/>
    </x:xf>
    <x:xf numFmtId="200" fontId="0" fillId="6" borderId="12" xfId="0" applyNumberFormat="1" applyFont="1" applyFill="1" applyBorder="1" applyAlignment="1">
      <x:alignment vertical="top" wrapText="1"/>
    </x:xf>
    <x:xf numFmtId="200" fontId="0" fillId="5" borderId="11" xfId="0" applyNumberFormat="1" applyFont="1" applyFill="1" applyBorder="1" applyAlignment="1">
      <x:alignment vertical="top" wrapText="1"/>
    </x:xf>
    <x:xf numFmtId="200" fontId="0" fillId="5" borderId="12" xfId="0" applyNumberFormat="1" applyFont="1" applyFill="1" applyBorder="1" applyAlignment="1">
      <x:alignment vertical="top" wrapText="1"/>
    </x:xf>
    <x:xf numFmtId="0" fontId="0" fillId="7" borderId="11"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left"/>
    </x:xf>
    <x:xf numFmtId="0" fontId="4" fillId="8" borderId="0" xfId="0" applyNumberFormat="1" applyFont="1" applyFill="1" applyBorder="1" applyAlignment="1">
      <x:alignment horizontal="left" vertical="center"/>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vertical="center" wrapText="1"/>
    </x:xf>
    <x:xf numFmtId="0" fontId="0" fillId="10" borderId="0" xfId="0" applyNumberFormat="1" applyFont="1" applyFill="1" applyBorder="1"/>
    <x:xf numFmtId="0" fontId="3" fillId="10" borderId="0" xfId="0" applyNumberFormat="1" applyFont="1" applyFill="1" applyBorder="1"/>
    <x:xf numFmtId="0" fontId="3" fillId="10" borderId="13" xfId="0" applyNumberFormat="1" applyFont="1" applyFill="1" applyBorder="1"/>
    <x:xf numFmtId="0" fontId="0" fillId="0" borderId="13" xfId="0" applyNumberFormat="1" applyFont="1" applyFill="1" applyBorder="1"/>
    <x:xf numFmtId="0" fontId="6" fillId="0" borderId="13" xfId="0" applyNumberFormat="1" applyFont="1" applyFill="1" applyBorder="1"/>
    <x:xf numFmtId="0" fontId="6" fillId="0" borderId="13" xfId="0" applyNumberFormat="1" applyFont="1" applyFill="1" applyBorder="1" applyAlignment="1">
      <x:alignment horizontal="right"/>
    </x:xf>
    <x:xf numFmtId="0" fontId="3" fillId="8"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3" fillId="10" borderId="13"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6" fillId="0" borderId="13" xfId="0" applyNumberFormat="1" applyFont="1" applyFill="1" applyBorder="1" applyAlignment="1">
      <x:alignment vertical="top" wrapText="1"/>
    </x:xf>
    <x:xf numFmtId="0" fontId="6" fillId="0" borderId="13" xfId="0" applyNumberFormat="1" applyFont="1" applyFill="1" applyBorder="1" applyAlignment="1">
      <x:alignment horizontal="right" vertical="top" wrapText="1"/>
    </x:xf>
    <x:xf numFmtId="0" fontId="0" fillId="0" borderId="13" xfId="0" applyNumberFormat="1" applyFont="1" applyFill="1" applyBorder="1" applyAlignment="1">
      <x:alignment horizontal="right" vertical="top" wrapText="1"/>
    </x:xf>
    <x:xf numFmtId="203" fontId="0" fillId="0" borderId="13" xfId="0" applyNumberFormat="1" applyFont="1" applyFill="1" applyBorder="1" applyAlignment="1">
      <x:alignment horizontal="right" vertical="top" wrapText="1"/>
    </x:xf>
    <x:xf numFmtId="0" fontId="0" fillId="11" borderId="0" xfId="0" applyNumberFormat="1" applyFont="1" applyFill="1" applyBorder="1"/>
    <x:xf numFmtId="0" fontId="7" fillId="11" borderId="0" xfId="0" applyNumberFormat="1" applyFont="1" applyFill="1" applyBorder="1"/>
    <x:xf numFmtId="0" fontId="3" fillId="10" borderId="13" xfId="0" applyNumberFormat="1" applyFont="1" applyFill="1" applyBorder="1" applyAlignment="1">
      <x:alignment horizontal="center" wrapText="1"/>
    </x:xf>
    <x:xf numFmtId="0" fontId="0" fillId="0" borderId="13" xfId="0" applyNumberFormat="1" applyFont="1" applyFill="1" applyBorder="1" applyAlignment="1">
      <x:alignment wrapText="1"/>
    </x:xf>
    <x:xf numFmtId="0" fontId="0" fillId="12" borderId="0" xfId="0" applyNumberFormat="1" applyFont="1" applyFill="1" applyBorder="1"/>
    <x:xf numFmtId="0" fontId="7" fillId="12" borderId="0" xfId="0" applyNumberFormat="1" applyFont="1" applyFill="1" applyBorder="1"/>
    <x:xf numFmtId="0" fontId="3" fillId="10" borderId="0" xfId="0" applyNumberFormat="1" applyFont="1" applyFill="1" applyBorder="1" applyAlignment="1">
      <x:alignment horizontal="center"/>
    </x:xf>
    <x:xf numFmtId="0" fontId="3" fillId="10" borderId="13" xfId="0" applyNumberFormat="1" applyFont="1" applyFill="1" applyBorder="1" applyAlignment="1">
      <x:alignment horizontal="center"/>
    </x:xf>
    <x:xf numFmtId="0" fontId="4" fillId="8" borderId="0" xfId="0" applyNumberFormat="1" applyFont="1" applyFill="1" applyBorder="1" applyAlignment="1">
      <x:alignment horizontal="left" vertical="top"/>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left"/>
    </x:xf>
    <x:xf numFmtId="0" fontId="4" fillId="13" borderId="0" xfId="0" applyNumberFormat="1" applyFont="1" applyFill="1" applyBorder="1" applyAlignment="1">
      <x:alignment horizontal="left" vertical="center"/>
    </x:xf>
    <x:xf numFmtId="0" fontId="0" fillId="14" borderId="0" xfId="0" applyNumberFormat="1" applyFont="1" applyFill="1" applyBorder="1"/>
    <x:xf numFmtId="0" fontId="5" fillId="14" borderId="0" xfId="0" applyNumberFormat="1" applyFont="1" applyFill="1" applyBorder="1"/>
    <x:xf numFmtId="0" fontId="5" fillId="14" borderId="0" xfId="0" applyNumberFormat="1" applyFont="1" applyFill="1" applyBorder="1" applyAlignment="1">
      <x:alignment wrapText="1"/>
    </x:xf>
    <x:xf numFmtId="0" fontId="5" fillId="14"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13" xfId="0" applyNumberFormat="1" applyFont="1" applyFill="1" applyBorder="1"/>
    <x:xf numFmtId="0" fontId="3" fillId="13" borderId="0" xfId="0" applyNumberFormat="1" applyFont="1" applyFill="1" applyBorder="1"/>
    <x:xf numFmtId="0" fontId="3" fillId="15" borderId="0" xfId="0" applyNumberFormat="1" applyFont="1" applyFill="1" applyBorder="1" applyAlignment="1">
      <x:alignment wrapText="1"/>
    </x:xf>
    <x:xf numFmtId="0" fontId="3" fillId="15" borderId="0" xfId="0" applyNumberFormat="1" applyFont="1" applyFill="1" applyBorder="1" applyAlignment="1">
      <x:alignment horizontal="center" wrapText="1"/>
    </x:xf>
    <x:xf numFmtId="0" fontId="3" fillId="15" borderId="0" xfId="0" applyNumberFormat="1" applyFont="1" applyFill="1" applyBorder="1" applyAlignment="1">
      <x:alignment horizontal="center" vertical="center" wrapText="1"/>
    </x:xf>
    <x:xf numFmtId="0" fontId="3" fillId="15" borderId="13" xfId="0" applyNumberFormat="1" applyFont="1" applyFill="1" applyBorder="1" applyAlignment="1">
      <x:alignment horizontal="center" vertical="center" wrapText="1"/>
    </x:xf>
    <x:xf numFmtId="0" fontId="0" fillId="16" borderId="0" xfId="0" applyNumberFormat="1" applyFont="1" applyFill="1" applyBorder="1"/>
    <x:xf numFmtId="0" fontId="7" fillId="16" borderId="0" xfId="0" applyNumberFormat="1" applyFont="1" applyFill="1" applyBorder="1"/>
    <x:xf numFmtId="0" fontId="3" fillId="15" borderId="13" xfId="0" applyNumberFormat="1" applyFont="1" applyFill="1" applyBorder="1" applyAlignment="1">
      <x:alignment horizontal="center" wrapText="1"/>
    </x:xf>
    <x:xf numFmtId="0" fontId="0" fillId="17" borderId="0" xfId="0" applyNumberFormat="1" applyFont="1" applyFill="1" applyBorder="1"/>
    <x:xf numFmtId="0" fontId="7" fillId="17" borderId="0" xfId="0" applyNumberFormat="1" applyFont="1" applyFill="1" applyBorder="1"/>
    <x:xf numFmtId="0" fontId="3" fillId="15" borderId="0" xfId="0" applyNumberFormat="1" applyFont="1" applyFill="1" applyBorder="1" applyAlignment="1">
      <x:alignment horizontal="center"/>
    </x:xf>
    <x:xf numFmtId="0" fontId="3" fillId="15" borderId="13" xfId="0" applyNumberFormat="1" applyFont="1" applyFill="1" applyBorder="1" applyAlignment="1">
      <x:alignment horizontal="center"/>
    </x:xf>
    <x:xf numFmtId="0" fontId="4" fillId="13" borderId="0" xfId="0" applyNumberFormat="1" applyFont="1" applyFill="1" applyBorder="1" applyAlignment="1">
      <x:alignment horizontal="left" vertical="top"/>
    </x:xf>
    <x:xf numFmtId="0" fontId="0" fillId="18" borderId="0" xfId="0" applyNumberFormat="1" applyFont="1" applyFill="1" applyBorder="1"/>
    <x:xf numFmtId="0" fontId="4" fillId="18" borderId="0" xfId="0" applyNumberFormat="1" applyFont="1" applyFill="1" applyBorder="1"/>
    <x:xf numFmtId="0" fontId="4" fillId="18" borderId="0" xfId="0" applyNumberFormat="1" applyFont="1" applyFill="1" applyBorder="1" applyAlignment="1">
      <x:alignment horizontal="left"/>
    </x:xf>
    <x:xf numFmtId="0" fontId="4" fillId="18" borderId="0" xfId="0" applyNumberFormat="1" applyFont="1" applyFill="1" applyBorder="1" applyAlignment="1">
      <x:alignment horizontal="left" vertical="center"/>
    </x:xf>
    <x:xf numFmtId="0" fontId="0" fillId="19" borderId="0" xfId="0" applyNumberFormat="1" applyFont="1" applyFill="1" applyBorder="1"/>
    <x:xf numFmtId="0" fontId="5" fillId="19" borderId="0" xfId="0" applyNumberFormat="1" applyFont="1" applyFill="1" applyBorder="1"/>
    <x:xf numFmtId="0" fontId="5" fillId="19" borderId="0" xfId="0" applyNumberFormat="1" applyFont="1" applyFill="1" applyBorder="1" applyAlignment="1">
      <x:alignment wrapText="1"/>
    </x:xf>
    <x:xf numFmtId="0" fontId="5" fillId="19" borderId="0" xfId="0" applyNumberFormat="1" applyFont="1" applyFill="1" applyBorder="1" applyAlignment="1">
      <x:alignment vertical="center" wrapText="1"/>
    </x:xf>
    <x:xf numFmtId="0" fontId="0" fillId="20" borderId="0" xfId="0" applyNumberFormat="1" applyFont="1" applyFill="1" applyBorder="1"/>
    <x:xf numFmtId="0" fontId="3" fillId="20" borderId="0" xfId="0" applyNumberFormat="1" applyFont="1" applyFill="1" applyBorder="1"/>
    <x:xf numFmtId="0" fontId="3" fillId="20" borderId="13" xfId="0" applyNumberFormat="1" applyFont="1" applyFill="1" applyBorder="1"/>
    <x:xf numFmtId="0" fontId="3" fillId="18" borderId="0" xfId="0" applyNumberFormat="1" applyFont="1" applyFill="1" applyBorder="1"/>
    <x:xf numFmtId="0" fontId="3" fillId="20" borderId="0" xfId="0" applyNumberFormat="1" applyFont="1" applyFill="1" applyBorder="1" applyAlignment="1">
      <x:alignment wrapText="1"/>
    </x:xf>
    <x:xf numFmtId="0" fontId="3" fillId="20" borderId="0" xfId="0" applyNumberFormat="1" applyFont="1" applyFill="1" applyBorder="1" applyAlignment="1">
      <x:alignment horizontal="center" wrapText="1"/>
    </x:xf>
    <x:xf numFmtId="0" fontId="3" fillId="20" borderId="0" xfId="0" applyNumberFormat="1" applyFont="1" applyFill="1" applyBorder="1" applyAlignment="1">
      <x:alignment horizontal="center" vertical="center" wrapText="1"/>
    </x:xf>
    <x:xf numFmtId="0" fontId="3" fillId="20" borderId="13" xfId="0" applyNumberFormat="1" applyFont="1" applyFill="1" applyBorder="1" applyAlignment="1">
      <x:alignment horizontal="center" vertical="center" wrapText="1"/>
    </x:xf>
    <x:xf numFmtId="0" fontId="0" fillId="21" borderId="0" xfId="0" applyNumberFormat="1" applyFont="1" applyFill="1" applyBorder="1"/>
    <x:xf numFmtId="0" fontId="7" fillId="21" borderId="0" xfId="0" applyNumberFormat="1" applyFont="1" applyFill="1" applyBorder="1"/>
    <x:xf numFmtId="0" fontId="3" fillId="20" borderId="13" xfId="0" applyNumberFormat="1" applyFont="1" applyFill="1" applyBorder="1" applyAlignment="1">
      <x:alignment horizontal="center" wrapText="1"/>
    </x:xf>
    <x:xf numFmtId="0" fontId="0" fillId="22" borderId="0" xfId="0" applyNumberFormat="1" applyFont="1" applyFill="1" applyBorder="1"/>
    <x:xf numFmtId="0" fontId="7" fillId="22" borderId="0" xfId="0" applyNumberFormat="1" applyFont="1" applyFill="1" applyBorder="1"/>
    <x:xf numFmtId="0" fontId="3" fillId="20" borderId="0" xfId="0" applyNumberFormat="1" applyFont="1" applyFill="1" applyBorder="1" applyAlignment="1">
      <x:alignment horizontal="center"/>
    </x:xf>
    <x:xf numFmtId="0" fontId="3" fillId="20" borderId="13" xfId="0" applyNumberFormat="1" applyFont="1" applyFill="1" applyBorder="1" applyAlignment="1">
      <x:alignment horizontal="center"/>
    </x:xf>
    <x:xf numFmtId="0" fontId="4" fillId="18" borderId="0" xfId="0" applyNumberFormat="1" applyFont="1" applyFill="1" applyBorder="1" applyAlignment="1">
      <x:alignment horizontal="left" vertical="top"/>
    </x:xf>
    <x:xf numFmtId="0" fontId="0" fillId="23" borderId="0" xfId="0" applyNumberFormat="1" applyFont="1" applyFill="1" applyBorder="1"/>
    <x:xf numFmtId="0" fontId="4" fillId="23" borderId="0" xfId="0" applyNumberFormat="1" applyFont="1" applyFill="1" applyBorder="1"/>
    <x:xf numFmtId="0" fontId="4" fillId="23" borderId="0" xfId="0" applyNumberFormat="1" applyFont="1" applyFill="1" applyBorder="1" applyAlignment="1">
      <x:alignment horizontal="left"/>
    </x:xf>
    <x:xf numFmtId="0" fontId="4" fillId="23" borderId="0" xfId="0" applyNumberFormat="1" applyFont="1" applyFill="1" applyBorder="1" applyAlignment="1">
      <x:alignment horizontal="left" vertical="center"/>
    </x:xf>
    <x:xf numFmtId="0" fontId="0" fillId="24" borderId="0" xfId="0" applyNumberFormat="1" applyFont="1" applyFill="1" applyBorder="1"/>
    <x:xf numFmtId="0" fontId="5" fillId="24" borderId="0" xfId="0" applyNumberFormat="1" applyFont="1" applyFill="1" applyBorder="1"/>
    <x:xf numFmtId="0" fontId="5" fillId="24" borderId="0" xfId="0" applyNumberFormat="1" applyFont="1" applyFill="1" applyBorder="1" applyAlignment="1">
      <x:alignment wrapText="1"/>
    </x:xf>
    <x:xf numFmtId="0" fontId="5" fillId="24" borderId="0" xfId="0" applyNumberFormat="1" applyFont="1" applyFill="1" applyBorder="1" applyAlignment="1">
      <x:alignment vertical="center" wrapText="1"/>
    </x:xf>
    <x:xf numFmtId="0" fontId="0" fillId="25" borderId="0" xfId="0" applyNumberFormat="1" applyFont="1" applyFill="1" applyBorder="1"/>
    <x:xf numFmtId="0" fontId="3" fillId="25" borderId="0" xfId="0" applyNumberFormat="1" applyFont="1" applyFill="1" applyBorder="1"/>
    <x:xf numFmtId="0" fontId="3" fillId="25" borderId="13" xfId="0" applyNumberFormat="1" applyFont="1" applyFill="1" applyBorder="1"/>
    <x:xf numFmtId="0" fontId="3" fillId="23" borderId="0" xfId="0" applyNumberFormat="1" applyFont="1" applyFill="1" applyBorder="1"/>
    <x:xf numFmtId="0" fontId="3" fillId="25" borderId="0" xfId="0" applyNumberFormat="1" applyFont="1" applyFill="1" applyBorder="1" applyAlignment="1">
      <x:alignment wrapText="1"/>
    </x:xf>
    <x:xf numFmtId="0" fontId="3" fillId="25" borderId="0" xfId="0" applyNumberFormat="1" applyFont="1" applyFill="1" applyBorder="1" applyAlignment="1">
      <x:alignment horizontal="center" wrapText="1"/>
    </x:xf>
    <x:xf numFmtId="0" fontId="3" fillId="25" borderId="0" xfId="0" applyNumberFormat="1" applyFont="1" applyFill="1" applyBorder="1" applyAlignment="1">
      <x:alignment horizontal="center" vertical="center" wrapText="1"/>
    </x:xf>
    <x:xf numFmtId="0" fontId="3" fillId="25" borderId="13" xfId="0" applyNumberFormat="1" applyFont="1" applyFill="1" applyBorder="1" applyAlignment="1">
      <x:alignment horizontal="center" vertical="center" wrapText="1"/>
    </x:xf>
    <x:xf numFmtId="0" fontId="0" fillId="26" borderId="0" xfId="0" applyNumberFormat="1" applyFont="1" applyFill="1" applyBorder="1"/>
    <x:xf numFmtId="0" fontId="7" fillId="26" borderId="0" xfId="0" applyNumberFormat="1" applyFont="1" applyFill="1" applyBorder="1"/>
    <x:xf numFmtId="0" fontId="3" fillId="25" borderId="13" xfId="0" applyNumberFormat="1" applyFont="1" applyFill="1" applyBorder="1" applyAlignment="1">
      <x:alignment horizontal="center" wrapText="1"/>
    </x:xf>
    <x:xf numFmtId="0" fontId="0" fillId="27" borderId="0" xfId="0" applyNumberFormat="1" applyFont="1" applyFill="1" applyBorder="1"/>
    <x:xf numFmtId="0" fontId="7" fillId="27" borderId="0" xfId="0" applyNumberFormat="1" applyFont="1" applyFill="1" applyBorder="1"/>
    <x:xf numFmtId="0" fontId="3" fillId="25" borderId="0" xfId="0" applyNumberFormat="1" applyFont="1" applyFill="1" applyBorder="1" applyAlignment="1">
      <x:alignment horizontal="center"/>
    </x:xf>
    <x:xf numFmtId="0" fontId="3" fillId="25" borderId="13" xfId="0" applyNumberFormat="1" applyFont="1" applyFill="1" applyBorder="1" applyAlignment="1">
      <x:alignment horizontal="center"/>
    </x:xf>
    <x:xf numFmtId="0" fontId="4" fillId="23" borderId="0" xfId="0" applyNumberFormat="1" applyFont="1" applyFill="1" applyBorder="1" applyAlignment="1">
      <x:alignment horizontal="left" vertical="top"/>
    </x:xf>
    <x:xf numFmtId="0" fontId="0" fillId="28" borderId="0" xfId="0" applyNumberFormat="1" applyFont="1" applyFill="1" applyBorder="1"/>
    <x:xf numFmtId="0" fontId="4" fillId="28" borderId="0" xfId="0" applyNumberFormat="1" applyFont="1" applyFill="1" applyBorder="1"/>
    <x:xf numFmtId="0" fontId="4" fillId="28" borderId="0" xfId="0" applyNumberFormat="1" applyFont="1" applyFill="1" applyBorder="1" applyAlignment="1">
      <x:alignment horizontal="left"/>
    </x:xf>
    <x:xf numFmtId="0" fontId="4" fillId="28" borderId="0" xfId="0" applyNumberFormat="1" applyFont="1" applyFill="1" applyBorder="1" applyAlignment="1">
      <x:alignment horizontal="left" vertical="center"/>
    </x:xf>
    <x:xf numFmtId="0" fontId="0" fillId="29" borderId="0" xfId="0" applyNumberFormat="1" applyFont="1" applyFill="1" applyBorder="1"/>
    <x:xf numFmtId="0" fontId="5" fillId="29" borderId="0" xfId="0" applyNumberFormat="1" applyFont="1" applyFill="1" applyBorder="1"/>
    <x:xf numFmtId="0" fontId="5" fillId="29" borderId="0" xfId="0" applyNumberFormat="1" applyFont="1" applyFill="1" applyBorder="1" applyAlignment="1">
      <x:alignment wrapText="1"/>
    </x:xf>
    <x:xf numFmtId="0" fontId="5" fillId="29" borderId="0" xfId="0" applyNumberFormat="1" applyFont="1" applyFill="1" applyBorder="1" applyAlignment="1">
      <x:alignment vertical="center" wrapText="1"/>
    </x:xf>
    <x:xf numFmtId="0" fontId="0" fillId="30" borderId="0" xfId="0" applyNumberFormat="1" applyFont="1" applyFill="1" applyBorder="1"/>
    <x:xf numFmtId="0" fontId="3" fillId="30" borderId="0" xfId="0" applyNumberFormat="1" applyFont="1" applyFill="1" applyBorder="1"/>
    <x:xf numFmtId="0" fontId="3" fillId="30" borderId="13" xfId="0" applyNumberFormat="1" applyFont="1" applyFill="1" applyBorder="1"/>
    <x:xf numFmtId="0" fontId="3" fillId="28" borderId="0" xfId="0" applyNumberFormat="1" applyFont="1" applyFill="1" applyBorder="1"/>
    <x:xf numFmtId="0" fontId="3" fillId="30" borderId="0" xfId="0" applyNumberFormat="1" applyFont="1" applyFill="1" applyBorder="1" applyAlignment="1">
      <x:alignment wrapText="1"/>
    </x:xf>
    <x:xf numFmtId="0" fontId="3" fillId="30" borderId="0" xfId="0" applyNumberFormat="1" applyFont="1" applyFill="1" applyBorder="1" applyAlignment="1">
      <x:alignment horizontal="center" wrapText="1"/>
    </x:xf>
    <x:xf numFmtId="0" fontId="3" fillId="30" borderId="0" xfId="0" applyNumberFormat="1" applyFont="1" applyFill="1" applyBorder="1" applyAlignment="1">
      <x:alignment horizontal="center" vertical="center" wrapText="1"/>
    </x:xf>
    <x:xf numFmtId="0" fontId="3" fillId="30" borderId="13" xfId="0" applyNumberFormat="1" applyFont="1" applyFill="1" applyBorder="1" applyAlignment="1">
      <x:alignment horizontal="center" vertical="center" wrapText="1"/>
    </x:xf>
    <x:xf numFmtId="0" fontId="0" fillId="31" borderId="0" xfId="0" applyNumberFormat="1" applyFont="1" applyFill="1" applyBorder="1"/>
    <x:xf numFmtId="0" fontId="7" fillId="31" borderId="0" xfId="0" applyNumberFormat="1" applyFont="1" applyFill="1" applyBorder="1"/>
    <x:xf numFmtId="0" fontId="3" fillId="30" borderId="13" xfId="0" applyNumberFormat="1" applyFont="1" applyFill="1" applyBorder="1" applyAlignment="1">
      <x:alignment horizontal="center" wrapText="1"/>
    </x:xf>
    <x:xf numFmtId="0" fontId="0" fillId="32" borderId="0" xfId="0" applyNumberFormat="1" applyFont="1" applyFill="1" applyBorder="1"/>
    <x:xf numFmtId="0" fontId="7" fillId="32" borderId="0" xfId="0" applyNumberFormat="1" applyFont="1" applyFill="1" applyBorder="1"/>
    <x:xf numFmtId="0" fontId="3" fillId="30" borderId="0" xfId="0" applyNumberFormat="1" applyFont="1" applyFill="1" applyBorder="1" applyAlignment="1">
      <x:alignment horizontal="center"/>
    </x:xf>
    <x:xf numFmtId="0" fontId="3" fillId="30" borderId="13" xfId="0" applyNumberFormat="1" applyFont="1" applyFill="1" applyBorder="1" applyAlignment="1">
      <x:alignment horizontal="center"/>
    </x:xf>
    <x:xf numFmtId="0" fontId="4" fillId="28" borderId="0" xfId="0" applyNumberFormat="1" applyFont="1" applyFill="1" applyBorder="1" applyAlignment="1">
      <x:alignment horizontal="left" vertical="top"/>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left"/>
    </x:xf>
    <x:xf numFmtId="0" fontId="1" fillId="33" borderId="0" xfId="0" applyNumberFormat="1" applyFont="1" applyFill="1" applyBorder="1" applyAlignment="1">
      <x:alignment horizontal="left" vertical="center"/>
    </x:xf>
    <x:xf numFmtId="0" fontId="0" fillId="34" borderId="0" xfId="0" applyNumberFormat="1" applyFont="1" applyFill="1" applyBorder="1"/>
    <x:xf numFmtId="0" fontId="5" fillId="34" borderId="0" xfId="0" applyNumberFormat="1" applyFont="1" applyFill="1" applyBorder="1"/>
    <x:xf numFmtId="0" fontId="5" fillId="34" borderId="0" xfId="0" applyNumberFormat="1" applyFont="1" applyFill="1" applyBorder="1" applyAlignment="1">
      <x:alignment vertical="center"/>
    </x:xf>
    <x:xf numFmtId="0" fontId="0" fillId="35" borderId="0" xfId="0" applyNumberFormat="1" applyFont="1" applyFill="1" applyBorder="1"/>
    <x:xf numFmtId="0" fontId="3" fillId="35" borderId="0" xfId="0" applyNumberFormat="1" applyFont="1" applyFill="1" applyBorder="1"/>
    <x:xf numFmtId="0" fontId="3" fillId="35" borderId="0" xfId="0" applyNumberFormat="1" applyFont="1" applyFill="1" applyBorder="1" applyAlignment="1">
      <x:alignment vertical="center"/>
    </x:xf>
    <x:xf numFmtId="0" fontId="0" fillId="36" borderId="0" xfId="0" applyNumberFormat="1" applyFont="1" applyFill="1" applyBorder="1"/>
    <x:xf numFmtId="0" fontId="0" fillId="36" borderId="14" xfId="0" applyNumberFormat="1" applyFont="1" applyFill="1" applyBorder="1"/>
    <x:xf numFmtId="0" fontId="0" fillId="36" borderId="15" xfId="0" applyNumberFormat="1" applyFont="1" applyFill="1" applyBorder="1"/>
    <x:xf numFmtId="0" fontId="0" fillId="36" borderId="16" xfId="0" applyNumberFormat="1" applyFont="1" applyFill="1" applyBorder="1"/>
    <x:xf numFmtId="0" fontId="0" fillId="36" borderId="17" xfId="0" applyNumberFormat="1" applyFont="1" applyFill="1" applyBorder="1"/>
    <x:xf numFmtId="0" fontId="0" fillId="36" borderId="18" xfId="0" applyNumberFormat="1" applyFont="1" applyFill="1" applyBorder="1"/>
    <x:xf numFmtId="0" fontId="0" fillId="36" borderId="19" xfId="0" applyNumberFormat="1" applyFont="1" applyFill="1" applyBorder="1"/>
    <x:xf numFmtId="0" fontId="0" fillId="36" borderId="14" xfId="0" applyNumberFormat="1" applyFont="1" applyFill="1" applyBorder="1" applyAlignment="1">
      <x:alignment wrapText="1"/>
    </x:xf>
    <x:xf numFmtId="0" fontId="0" fillId="36" borderId="15" xfId="0" applyNumberFormat="1" applyFont="1" applyFill="1" applyBorder="1" applyAlignment="1">
      <x:alignment wrapText="1"/>
    </x:xf>
    <x:xf numFmtId="0" fontId="0" fillId="36" borderId="16" xfId="0" applyNumberFormat="1" applyFont="1" applyFill="1" applyBorder="1" applyAlignment="1">
      <x:alignment wrapText="1"/>
    </x:xf>
    <x:xf numFmtId="0" fontId="0" fillId="36" borderId="17" xfId="0" applyNumberFormat="1" applyFont="1" applyFill="1" applyBorder="1" applyAlignment="1">
      <x:alignment wrapText="1"/>
    </x:xf>
    <x:xf numFmtId="0" fontId="0" fillId="36" borderId="18" xfId="0" applyNumberFormat="1" applyFont="1" applyFill="1" applyBorder="1" applyAlignment="1">
      <x:alignment wrapText="1"/>
    </x:xf>
    <x:xf numFmtId="0" fontId="0" fillId="36" borderId="19" xfId="0" applyNumberFormat="1" applyFont="1" applyFill="1" applyBorder="1" applyAlignment="1">
      <x:alignment wrapText="1"/>
    </x:xf>
    <x:xf numFmtId="0" fontId="0" fillId="36" borderId="14" xfId="0" applyNumberFormat="1" applyFont="1" applyFill="1" applyBorder="1" applyAlignment="1">
      <x:alignment vertical="top" wrapText="1"/>
    </x:xf>
    <x:xf numFmtId="0" fontId="0" fillId="36" borderId="15" xfId="0" applyNumberFormat="1" applyFont="1" applyFill="1" applyBorder="1" applyAlignment="1">
      <x:alignment vertical="top" wrapText="1"/>
    </x:xf>
    <x:xf numFmtId="0" fontId="0" fillId="36" borderId="16" xfId="0" applyNumberFormat="1" applyFont="1" applyFill="1" applyBorder="1" applyAlignment="1">
      <x:alignment vertical="top" wrapText="1"/>
    </x:xf>
    <x:xf numFmtId="0" fontId="0" fillId="36" borderId="17" xfId="0" applyNumberFormat="1" applyFont="1" applyFill="1" applyBorder="1" applyAlignment="1">
      <x:alignment vertical="top" wrapText="1"/>
    </x:xf>
    <x:xf numFmtId="0" fontId="0" fillId="36" borderId="18" xfId="0" applyNumberFormat="1" applyFont="1" applyFill="1" applyBorder="1" applyAlignment="1">
      <x:alignment vertical="top" wrapText="1"/>
    </x:xf>
    <x:xf numFmtId="0" fontId="0" fillId="36" borderId="19" xfId="0" applyNumberFormat="1" applyFont="1" applyFill="1" applyBorder="1" applyAlignment="1">
      <x:alignment vertical="top" wrapText="1"/>
    </x:xf>
    <x:xf numFmtId="0" fontId="3" fillId="33" borderId="0" xfId="0" applyNumberFormat="1" applyFont="1" applyFill="1" applyBorder="1"/>
    <x:xf numFmtId="0" fontId="3" fillId="33" borderId="0" xfId="0" applyNumberFormat="1" applyFont="1" applyFill="1" applyBorder="1" applyAlignment="1">
      <x:alignment vertical="center"/>
    </x:xf>
    <x:xf numFmtId="0" fontId="3" fillId="35" borderId="11" xfId="0" applyNumberFormat="1" applyFont="1" applyFill="1" applyBorder="1"/>
    <x:xf numFmtId="0" fontId="3" fillId="35" borderId="11" xfId="0" applyNumberFormat="1" applyFont="1" applyFill="1" applyBorder="1" applyAlignment="1">
      <x:alignment wrapText="1"/>
    </x:xf>
    <x:xf numFmtId="0" fontId="3" fillId="35" borderId="11" xfId="0" applyNumberFormat="1" applyFont="1" applyFill="1" applyBorder="1" applyAlignment="1">
      <x:alignment horizontal="center" wrapText="1"/>
    </x:xf>
    <x:xf numFmtId="0" fontId="3" fillId="35" borderId="11" xfId="0" applyNumberFormat="1" applyFont="1" applyFill="1" applyBorder="1" applyAlignment="1">
      <x:alignment horizontal="center" vertical="center" wrapText="1"/>
    </x:xf>
    <x:xf numFmtId="0" fontId="0" fillId="0" borderId="11" xfId="0" applyNumberFormat="1" applyFont="1" applyFill="1" applyBorder="1"/>
    <x:xf numFmtId="0" fontId="0" fillId="0" borderId="11" xfId="0" applyNumberFormat="1" applyFont="1" applyFill="1" applyBorder="1" applyAlignment="1">
      <x:alignment wrapText="1"/>
    </x:xf>
    <x:xf numFmtId="0" fontId="0" fillId="37" borderId="11" xfId="0" applyNumberFormat="1" applyFont="1" applyFill="1" applyBorder="1" applyAlignment="1">
      <x:alignment vertical="top" wrapText="1"/>
    </x:xf>
    <x:xf numFmtId="0" fontId="6" fillId="37" borderId="11" xfId="0" applyNumberFormat="1" applyFont="1" applyFill="1" applyBorder="1" applyAlignment="1">
      <x:alignment vertical="top" wrapText="1"/>
    </x:xf>
    <x:xf numFmtId="0" fontId="6" fillId="37" borderId="11" xfId="0" applyNumberFormat="1" applyFont="1" applyFill="1" applyBorder="1" applyAlignment="1">
      <x:alignment horizontal="center" vertical="top" wrapText="1"/>
    </x:xf>
    <x:xf numFmtId="0" fontId="6" fillId="37" borderId="11" xfId="0" applyNumberFormat="1" applyFont="1" applyFill="1" applyBorder="1" applyAlignment="1">
      <x:alignment horizontal="center" vertical="center" wrapText="1"/>
    </x:xf>
    <x:xf numFmtId="204" fontId="0" fillId="0" borderId="11" xfId="0" applyNumberFormat="1" applyFont="1" applyFill="1" applyBorder="1" applyAlignment="1">
      <x:alignment vertical="top" wrapText="1"/>
    </x:xf>
    <x:xf numFmtId="204" fontId="6" fillId="37" borderId="11" xfId="0" applyNumberFormat="1" applyFont="1" applyFill="1" applyBorder="1" applyAlignment="1">
      <x:alignment horizontal="center" vertical="center" wrapText="1"/>
    </x:xf>
    <x:xf numFmtId="0" fontId="0" fillId="38" borderId="0" xfId="0" applyNumberFormat="1" applyFont="1" applyFill="1" applyBorder="1"/>
    <x:xf numFmtId="0" fontId="3" fillId="38" borderId="0" xfId="0" applyNumberFormat="1" applyFont="1" applyFill="1" applyBorder="1"/>
    <x:xf numFmtId="0" fontId="3" fillId="38" borderId="0" xfId="0" applyNumberFormat="1" applyFont="1" applyFill="1" applyBorder="1" applyAlignment="1">
      <x:alignment vertical="center"/>
    </x:xf>
    <x:xf numFmtId="0" fontId="0" fillId="39" borderId="0" xfId="0" applyNumberFormat="1" applyFont="1" applyFill="1" applyBorder="1"/>
    <x:xf numFmtId="0" fontId="7" fillId="39" borderId="0" xfId="0" applyNumberFormat="1" applyFont="1" applyFill="1" applyBorder="1"/>
    <x:xf numFmtId="0" fontId="7" fillId="39" borderId="11" xfId="0" applyNumberFormat="1" applyFont="1" applyFill="1" applyBorder="1"/>
    <x:xf numFmtId="0" fontId="7" fillId="39" borderId="11" xfId="0" applyNumberFormat="1" applyFont="1" applyFill="1" applyBorder="1" applyAlignment="1">
      <x:alignment wrapText="1"/>
    </x:xf>
    <x:xf numFmtId="0" fontId="7" fillId="39" borderId="11" xfId="0" applyNumberFormat="1" applyFont="1" applyFill="1" applyBorder="1" applyAlignment="1">
      <x:alignment vertical="center" wrapText="1"/>
    </x:xf>
    <x:xf numFmtId="0" fontId="0" fillId="39" borderId="11" xfId="0" applyNumberFormat="1" applyFont="1" applyFill="1" applyBorder="1" applyAlignment="1">
      <x:alignment vertical="top" wrapText="1"/>
    </x:xf>
    <x:xf numFmtId="0" fontId="6" fillId="39" borderId="11" xfId="0" applyNumberFormat="1" applyFont="1" applyFill="1" applyBorder="1" applyAlignment="1">
      <x:alignment vertical="top" wrapText="1"/>
    </x:xf>
    <x:xf numFmtId="0" fontId="6" fillId="39" borderId="11" xfId="0" applyNumberFormat="1" applyFont="1" applyFill="1" applyBorder="1" applyAlignment="1">
      <x:alignment horizontal="center" vertical="top" wrapText="1"/>
    </x:xf>
    <x:xf numFmtId="0" fontId="6" fillId="39" borderId="11" xfId="0" applyNumberFormat="1" applyFont="1" applyFill="1" applyBorder="1" applyAlignment="1">
      <x:alignment horizontal="center" vertic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vertical="center"/>
    </x:xf>
    <x:xf numFmtId="0" fontId="0" fillId="41" borderId="0" xfId="0" applyNumberFormat="1" applyFont="1" applyFill="1" applyBorder="1"/>
    <x:xf numFmtId="0" fontId="7" fillId="41" borderId="0" xfId="0" applyNumberFormat="1" applyFont="1" applyFill="1" applyBorder="1"/>
    <x:xf numFmtId="0" fontId="7" fillId="41" borderId="11" xfId="0" applyNumberFormat="1" applyFont="1" applyFill="1" applyBorder="1"/>
    <x:xf numFmtId="0" fontId="7" fillId="41" borderId="11" xfId="0" applyNumberFormat="1" applyFont="1" applyFill="1" applyBorder="1" applyAlignment="1">
      <x:alignment wrapText="1"/>
    </x:xf>
    <x:xf numFmtId="0" fontId="7" fillId="41" borderId="11" xfId="0" applyNumberFormat="1" applyFont="1" applyFill="1" applyBorder="1" applyAlignment="1">
      <x:alignment vertical="center" wrapText="1"/>
    </x:xf>
    <x:xf numFmtId="0" fontId="0" fillId="41" borderId="11" xfId="0" applyNumberFormat="1" applyFont="1" applyFill="1" applyBorder="1" applyAlignment="1">
      <x:alignment vertical="top" wrapText="1"/>
    </x:xf>
    <x:xf numFmtId="0" fontId="5" fillId="36" borderId="0" xfId="0" applyNumberFormat="1" applyFont="1" applyFill="1" applyBorder="1"/>
    <x:xf numFmtId="0" fontId="5" fillId="36" borderId="6" xfId="0" applyNumberFormat="1" applyFont="1" applyFill="1" applyBorder="1"/>
    <x:xf numFmtId="0" fontId="5" fillId="36" borderId="20" xfId="0" applyNumberFormat="1" applyFont="1" applyFill="1" applyBorder="1"/>
    <x:xf numFmtId="0" fontId="5" fillId="36" borderId="21" xfId="0" applyNumberFormat="1" applyFont="1" applyFill="1" applyBorder="1"/>
    <x:xf numFmtId="0" fontId="5" fillId="36" borderId="6" xfId="0" applyNumberFormat="1" applyFont="1" applyFill="1" applyBorder="1" applyAlignment="1">
      <x:alignment wrapText="1"/>
    </x:xf>
    <x:xf numFmtId="0" fontId="5" fillId="36" borderId="20" xfId="0" applyNumberFormat="1" applyFont="1" applyFill="1" applyBorder="1" applyAlignment="1">
      <x:alignment wrapText="1"/>
    </x:xf>
    <x:xf numFmtId="0" fontId="5" fillId="36" borderId="21" xfId="0" applyNumberFormat="1" applyFont="1" applyFill="1" applyBorder="1" applyAlignment="1">
      <x:alignment wrapText="1"/>
    </x:xf>
    <x:xf numFmtId="0" fontId="5" fillId="36" borderId="6" xfId="0" applyNumberFormat="1" applyFont="1" applyFill="1" applyBorder="1" applyAlignment="1">
      <x:alignment vertical="center" wrapText="1"/>
    </x:xf>
    <x:xf numFmtId="0" fontId="5" fillId="36" borderId="20" xfId="0" applyNumberFormat="1" applyFont="1" applyFill="1" applyBorder="1" applyAlignment="1">
      <x:alignment vertical="center" wrapText="1"/>
    </x:xf>
    <x:xf numFmtId="0" fontId="5" fillId="36" borderId="21" xfId="0" applyNumberFormat="1" applyFont="1" applyFill="1" applyBorder="1" applyAlignment="1">
      <x:alignment vertical="center" wrapText="1"/>
    </x:xf>
    <x:xf numFmtId="0" fontId="0" fillId="42"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vertical="center"/>
    </x:xf>
    <x:xf numFmtId="0" fontId="0" fillId="43" borderId="0" xfId="0" applyNumberFormat="1" applyFont="1" applyFill="1" applyBorder="1"/>
    <x:xf numFmtId="0" fontId="5" fillId="43" borderId="0" xfId="0" applyNumberFormat="1" applyFont="1" applyFill="1" applyBorder="1"/>
    <x:xf numFmtId="0" fontId="5" fillId="43" borderId="0" xfId="0" applyNumberFormat="1" applyFont="1" applyFill="1" applyBorder="1" applyAlignment="1">
      <x:alignment vertical="center"/>
    </x:xf>
    <x:xf numFmtId="0" fontId="0" fillId="44" borderId="0" xfId="0" applyNumberFormat="1" applyFont="1" applyFill="1" applyBorder="1"/>
    <x:xf numFmtId="0" fontId="3" fillId="44" borderId="0" xfId="0" applyNumberFormat="1" applyFont="1" applyFill="1" applyBorder="1"/>
    <x:xf numFmtId="0" fontId="3" fillId="44" borderId="0" xfId="0" applyNumberFormat="1" applyFont="1" applyFill="1" applyBorder="1" applyAlignment="1">
      <x:alignment vertical="center"/>
    </x:xf>
    <x:xf numFmtId="0" fontId="0" fillId="45" borderId="0" xfId="0" applyNumberFormat="1" applyFont="1" applyFill="1" applyBorder="1"/>
    <x:xf numFmtId="0" fontId="0" fillId="45" borderId="14" xfId="0" applyNumberFormat="1" applyFont="1" applyFill="1" applyBorder="1"/>
    <x:xf numFmtId="0" fontId="0" fillId="45" borderId="15" xfId="0" applyNumberFormat="1" applyFont="1" applyFill="1" applyBorder="1"/>
    <x:xf numFmtId="0" fontId="0" fillId="45" borderId="16" xfId="0" applyNumberFormat="1" applyFont="1" applyFill="1" applyBorder="1"/>
    <x:xf numFmtId="0" fontId="0" fillId="45" borderId="17" xfId="0" applyNumberFormat="1" applyFont="1" applyFill="1" applyBorder="1"/>
    <x:xf numFmtId="0" fontId="0" fillId="45" borderId="18" xfId="0" applyNumberFormat="1" applyFont="1" applyFill="1" applyBorder="1"/>
    <x:xf numFmtId="0" fontId="0" fillId="45" borderId="19" xfId="0" applyNumberFormat="1" applyFont="1" applyFill="1" applyBorder="1"/>
    <x:xf numFmtId="0" fontId="0" fillId="45" borderId="14" xfId="0" applyNumberFormat="1" applyFont="1" applyFill="1" applyBorder="1" applyAlignment="1">
      <x:alignment wrapText="1"/>
    </x:xf>
    <x:xf numFmtId="0" fontId="0" fillId="45" borderId="15" xfId="0" applyNumberFormat="1" applyFont="1" applyFill="1" applyBorder="1" applyAlignment="1">
      <x:alignment wrapText="1"/>
    </x:xf>
    <x:xf numFmtId="0" fontId="0" fillId="45" borderId="16" xfId="0" applyNumberFormat="1" applyFont="1" applyFill="1" applyBorder="1" applyAlignment="1">
      <x:alignment wrapText="1"/>
    </x:xf>
    <x:xf numFmtId="0" fontId="0" fillId="45" borderId="17" xfId="0" applyNumberFormat="1" applyFont="1" applyFill="1" applyBorder="1" applyAlignment="1">
      <x:alignment wrapText="1"/>
    </x:xf>
    <x:xf numFmtId="0" fontId="0" fillId="45" borderId="18" xfId="0" applyNumberFormat="1" applyFont="1" applyFill="1" applyBorder="1" applyAlignment="1">
      <x:alignment wrapText="1"/>
    </x:xf>
    <x:xf numFmtId="0" fontId="0" fillId="45" borderId="19" xfId="0" applyNumberFormat="1" applyFont="1" applyFill="1" applyBorder="1" applyAlignment="1">
      <x:alignment wrapText="1"/>
    </x:xf>
    <x:xf numFmtId="0" fontId="0" fillId="45" borderId="14" xfId="0" applyNumberFormat="1" applyFont="1" applyFill="1" applyBorder="1" applyAlignment="1">
      <x:alignment vertical="top" wrapText="1"/>
    </x:xf>
    <x:xf numFmtId="0" fontId="0" fillId="45" borderId="15" xfId="0" applyNumberFormat="1" applyFont="1" applyFill="1" applyBorder="1" applyAlignment="1">
      <x:alignment vertical="top" wrapText="1"/>
    </x:xf>
    <x:xf numFmtId="0" fontId="0" fillId="45" borderId="16" xfId="0" applyNumberFormat="1" applyFont="1" applyFill="1" applyBorder="1" applyAlignment="1">
      <x:alignment vertical="top" wrapText="1"/>
    </x:xf>
    <x:xf numFmtId="0" fontId="0" fillId="45" borderId="17" xfId="0" applyNumberFormat="1" applyFont="1" applyFill="1" applyBorder="1" applyAlignment="1">
      <x:alignment vertical="top" wrapText="1"/>
    </x:xf>
    <x:xf numFmtId="0" fontId="0" fillId="45" borderId="18" xfId="0" applyNumberFormat="1" applyFont="1" applyFill="1" applyBorder="1" applyAlignment="1">
      <x:alignment vertical="top" wrapText="1"/>
    </x:xf>
    <x:xf numFmtId="0" fontId="0" fillId="45" borderId="19" xfId="0" applyNumberFormat="1" applyFont="1" applyFill="1" applyBorder="1" applyAlignment="1">
      <x:alignment vertical="top" wrapText="1"/>
    </x:xf>
    <x:xf numFmtId="0" fontId="3" fillId="42" borderId="0" xfId="0" applyNumberFormat="1" applyFont="1" applyFill="1" applyBorder="1"/>
    <x:xf numFmtId="0" fontId="3" fillId="42" borderId="0" xfId="0" applyNumberFormat="1" applyFont="1" applyFill="1" applyBorder="1" applyAlignment="1">
      <x:alignment vertical="center"/>
    </x:xf>
    <x:xf numFmtId="0" fontId="3" fillId="44" borderId="11" xfId="0" applyNumberFormat="1" applyFont="1" applyFill="1" applyBorder="1"/>
    <x:xf numFmtId="0" fontId="3" fillId="44" borderId="11" xfId="0" applyNumberFormat="1" applyFont="1" applyFill="1" applyBorder="1" applyAlignment="1">
      <x:alignment wrapText="1"/>
    </x:xf>
    <x:xf numFmtId="0" fontId="3" fillId="44" borderId="11" xfId="0" applyNumberFormat="1" applyFont="1" applyFill="1" applyBorder="1" applyAlignment="1">
      <x:alignment horizontal="center" wrapText="1"/>
    </x:xf>
    <x:xf numFmtId="0" fontId="3" fillId="44" borderId="11" xfId="0" applyNumberFormat="1" applyFont="1" applyFill="1" applyBorder="1" applyAlignment="1">
      <x:alignment horizontal="center" vertical="center" wrapText="1"/>
    </x:xf>
    <x:xf numFmtId="0" fontId="0" fillId="46" borderId="11" xfId="0" applyNumberFormat="1" applyFont="1" applyFill="1" applyBorder="1" applyAlignment="1">
      <x:alignment vertical="top" wrapText="1"/>
    </x:xf>
    <x:xf numFmtId="0" fontId="6" fillId="46" borderId="11" xfId="0" applyNumberFormat="1" applyFont="1" applyFill="1" applyBorder="1" applyAlignment="1">
      <x:alignment vertical="top" wrapText="1"/>
    </x:xf>
    <x:xf numFmtId="0" fontId="6" fillId="46" borderId="11" xfId="0" applyNumberFormat="1" applyFont="1" applyFill="1" applyBorder="1" applyAlignment="1">
      <x:alignment horizontal="center" vertical="top" wrapText="1"/>
    </x:xf>
    <x:xf numFmtId="0" fontId="6" fillId="46" borderId="11" xfId="0" applyNumberFormat="1" applyFont="1" applyFill="1" applyBorder="1" applyAlignment="1">
      <x:alignment horizontal="center" vertical="center" wrapText="1"/>
    </x:xf>
    <x:xf numFmtId="204" fontId="6" fillId="46" borderId="11" xfId="0" applyNumberFormat="1" applyFont="1" applyFill="1" applyBorder="1" applyAlignment="1">
      <x:alignment horizontal="center" vertical="center" wrapText="1"/>
    </x:xf>
    <x:xf numFmtId="0" fontId="0" fillId="47" borderId="0" xfId="0" applyNumberFormat="1" applyFont="1" applyFill="1" applyBorder="1"/>
    <x:xf numFmtId="0" fontId="3" fillId="47" borderId="0" xfId="0" applyNumberFormat="1" applyFont="1" applyFill="1" applyBorder="1"/>
    <x:xf numFmtId="0" fontId="3" fillId="47" borderId="0" xfId="0" applyNumberFormat="1" applyFont="1" applyFill="1" applyBorder="1" applyAlignment="1">
      <x:alignment vertical="center"/>
    </x:xf>
    <x:xf numFmtId="0" fontId="0" fillId="48" borderId="0" xfId="0" applyNumberFormat="1" applyFont="1" applyFill="1" applyBorder="1"/>
    <x:xf numFmtId="0" fontId="7" fillId="48" borderId="0" xfId="0" applyNumberFormat="1" applyFont="1" applyFill="1" applyBorder="1"/>
    <x:xf numFmtId="0" fontId="7" fillId="48" borderId="11" xfId="0" applyNumberFormat="1" applyFont="1" applyFill="1" applyBorder="1"/>
    <x:xf numFmtId="0" fontId="7" fillId="48" borderId="11" xfId="0" applyNumberFormat="1" applyFont="1" applyFill="1" applyBorder="1" applyAlignment="1">
      <x:alignment wrapText="1"/>
    </x:xf>
    <x:xf numFmtId="0" fontId="7" fillId="48" borderId="11" xfId="0" applyNumberFormat="1" applyFont="1" applyFill="1" applyBorder="1" applyAlignment="1">
      <x:alignment vertical="center" wrapText="1"/>
    </x:xf>
    <x:xf numFmtId="0" fontId="0" fillId="48" borderId="11" xfId="0" applyNumberFormat="1" applyFont="1" applyFill="1" applyBorder="1" applyAlignment="1">
      <x:alignment vertical="top" wrapText="1"/>
    </x:xf>
    <x:xf numFmtId="0" fontId="6" fillId="48" borderId="11" xfId="0" applyNumberFormat="1" applyFont="1" applyFill="1" applyBorder="1" applyAlignment="1">
      <x:alignment vertical="top" wrapText="1"/>
    </x:xf>
    <x:xf numFmtId="0" fontId="6" fillId="48" borderId="11" xfId="0" applyNumberFormat="1" applyFont="1" applyFill="1" applyBorder="1" applyAlignment="1">
      <x:alignment horizontal="center" vertical="top" wrapText="1"/>
    </x:xf>
    <x:xf numFmtId="0" fontId="6" fillId="48" borderId="11" xfId="0" applyNumberFormat="1" applyFont="1" applyFill="1" applyBorder="1" applyAlignment="1">
      <x:alignment horizontal="center" vertical="center" wrapText="1"/>
    </x:xf>
    <x:xf numFmtId="0" fontId="0" fillId="49" borderId="0" xfId="0" applyNumberFormat="1" applyFont="1" applyFill="1" applyBorder="1"/>
    <x:xf numFmtId="0" fontId="3" fillId="49" borderId="0" xfId="0" applyNumberFormat="1" applyFont="1" applyFill="1" applyBorder="1"/>
    <x:xf numFmtId="0" fontId="3" fillId="49" borderId="0" xfId="0" applyNumberFormat="1" applyFont="1" applyFill="1" applyBorder="1" applyAlignment="1">
      <x:alignment vertical="center"/>
    </x:xf>
    <x:xf numFmtId="0" fontId="0" fillId="50" borderId="0" xfId="0" applyNumberFormat="1" applyFont="1" applyFill="1" applyBorder="1"/>
    <x:xf numFmtId="0" fontId="7" fillId="50" borderId="0" xfId="0" applyNumberFormat="1" applyFont="1" applyFill="1" applyBorder="1"/>
    <x:xf numFmtId="0" fontId="7" fillId="50" borderId="11" xfId="0" applyNumberFormat="1" applyFont="1" applyFill="1" applyBorder="1"/>
    <x:xf numFmtId="0" fontId="7" fillId="50" borderId="11" xfId="0" applyNumberFormat="1" applyFont="1" applyFill="1" applyBorder="1" applyAlignment="1">
      <x:alignment wrapText="1"/>
    </x:xf>
    <x:xf numFmtId="0" fontId="7" fillId="50" borderId="11" xfId="0" applyNumberFormat="1" applyFont="1" applyFill="1" applyBorder="1" applyAlignment="1">
      <x:alignment vertical="center" wrapText="1"/>
    </x:xf>
    <x:xf numFmtId="0" fontId="0" fillId="50" borderId="11" xfId="0" applyNumberFormat="1" applyFont="1" applyFill="1" applyBorder="1" applyAlignment="1">
      <x:alignment vertical="top" wrapText="1"/>
    </x:xf>
    <x:xf numFmtId="0" fontId="5" fillId="45" borderId="0" xfId="0" applyNumberFormat="1" applyFont="1" applyFill="1" applyBorder="1"/>
    <x:xf numFmtId="0" fontId="5" fillId="45" borderId="6" xfId="0" applyNumberFormat="1" applyFont="1" applyFill="1" applyBorder="1"/>
    <x:xf numFmtId="0" fontId="5" fillId="45" borderId="20" xfId="0" applyNumberFormat="1" applyFont="1" applyFill="1" applyBorder="1"/>
    <x:xf numFmtId="0" fontId="5" fillId="45" borderId="21" xfId="0" applyNumberFormat="1" applyFont="1" applyFill="1" applyBorder="1"/>
    <x:xf numFmtId="0" fontId="5" fillId="45" borderId="6" xfId="0" applyNumberFormat="1" applyFont="1" applyFill="1" applyBorder="1" applyAlignment="1">
      <x:alignment wrapText="1"/>
    </x:xf>
    <x:xf numFmtId="0" fontId="5" fillId="45" borderId="20" xfId="0" applyNumberFormat="1" applyFont="1" applyFill="1" applyBorder="1" applyAlignment="1">
      <x:alignment wrapText="1"/>
    </x:xf>
    <x:xf numFmtId="0" fontId="5" fillId="45" borderId="21" xfId="0" applyNumberFormat="1" applyFont="1" applyFill="1" applyBorder="1" applyAlignment="1">
      <x:alignment wrapText="1"/>
    </x:xf>
    <x:xf numFmtId="0" fontId="5" fillId="45" borderId="6" xfId="0" applyNumberFormat="1" applyFont="1" applyFill="1" applyBorder="1" applyAlignment="1">
      <x:alignment vertical="center" wrapText="1"/>
    </x:xf>
    <x:xf numFmtId="0" fontId="5" fillId="45" borderId="20" xfId="0" applyNumberFormat="1" applyFont="1" applyFill="1" applyBorder="1" applyAlignment="1">
      <x:alignment vertical="center" wrapText="1"/>
    </x:xf>
    <x:xf numFmtId="0" fontId="5" fillId="45" borderId="2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8793ce6e764a23" /><Relationship Type="http://schemas.openxmlformats.org/officeDocument/2006/relationships/theme" Target="/xl/theme/theme1.xml" Id="Rfd672a5cb7b24a9e" /><Relationship Type="http://schemas.openxmlformats.org/officeDocument/2006/relationships/sharedStrings" Target="/xl/sharedStrings.xml" Id="Rca695877a71a432c" /><Relationship Type="http://schemas.openxmlformats.org/officeDocument/2006/relationships/worksheet" Target="/xl/worksheets/sheet1.xml" Id="Rc3897a6150884a67" /><Relationship Type="http://schemas.openxmlformats.org/officeDocument/2006/relationships/worksheet" Target="/xl/worksheets/sheet2.xml" Id="R8fa2239938fe4e86" /><Relationship Type="http://schemas.openxmlformats.org/officeDocument/2006/relationships/worksheet" Target="/xl/worksheets/sheet3.xml" Id="R28e06f53062c4ce0" /><Relationship Type="http://schemas.openxmlformats.org/officeDocument/2006/relationships/worksheet" Target="/xl/worksheets/sheet4.xml" Id="R0b5176136e264af0" /><Relationship Type="http://schemas.openxmlformats.org/officeDocument/2006/relationships/worksheet" Target="/xl/worksheets/sheet5.xml" Id="R9d8cf2d9d595421c" /><Relationship Type="http://schemas.openxmlformats.org/officeDocument/2006/relationships/worksheet" Target="/xl/worksheets/sheet6.xml" Id="Rdfd7ba866c9146eb" /><Relationship Type="http://schemas.openxmlformats.org/officeDocument/2006/relationships/worksheet" Target="/xl/worksheets/sheet7.xml" Id="Rc73898fc49334577" /><Relationship Type="http://schemas.openxmlformats.org/officeDocument/2006/relationships/worksheet" Target="/xl/worksheets/sheet8.xml" Id="R7560ceaac8ec4077" /><Relationship Type="http://schemas.openxmlformats.org/officeDocument/2006/relationships/worksheet" Target="/xl/worksheets/sheet9.xml" Id="Rb9327e83528543ac" /><Relationship Type="http://schemas.openxmlformats.org/officeDocument/2006/relationships/worksheet" Target="/xl/worksheets/sheet10.xml" Id="R86220e62427645d2" /><Relationship Type="http://schemas.openxmlformats.org/officeDocument/2006/relationships/worksheet" Target="/xl/worksheets/sheet11.xml" Id="Rd6a6746ee4d445ee" /><Relationship Type="http://schemas.openxmlformats.org/officeDocument/2006/relationships/worksheet" Target="/xl/worksheets/sheet12.xml" Id="R14a5b79c8dcb40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8" hidden="0" customWidth="1"/>
    <x:col min="4" max="4" width="18" hidden="0" customWidth="1"/>
    <x:col min="5" max="5" width="12" hidden="0" customWidth="1"/>
    <x:col min="6" max="6" width="14" hidden="0" customWidth="1"/>
    <x:col min="7" max="7" width="20" hidden="0" customWidth="1"/>
    <x:col min="8" max="8" width="42" hidden="0" customWidth="1"/>
  </x:cols>
  <x:sheetData>
    <x:row r="1" ht="28" customHeight="1">
      <x:c r="A1" s="4" t="str">
        <x:v>Light Tower Group — $10M+ Multifamily Sale &amp; Capital Opportunity Engine</x:v>
      </x:c>
      <x:c r="B1" s="4"/>
      <x:c r="C1" s="4"/>
      <x:c r="D1" s="4"/>
      <x:c r="E1" s="4"/>
      <x:c r="F1" s="4"/>
      <x:c r="G1" s="4"/>
      <x:c r="H1" s="4"/>
    </x:row>
    <x:row r="2" ht="30" customHeight="1">
      <x:c r="A2" s="9" t="str">
        <x:v>Run date: August 15, 2026 | Report-only | Targeted public-source sweep</x:v>
      </x:c>
      <x:c r="B2" s="9"/>
      <x:c r="C2" s="9"/>
      <x:c r="D2" s="9"/>
      <x:c r="E2" s="9"/>
      <x:c r="F2" s="9"/>
      <x:c r="G2" s="9"/>
      <x:c r="H2" s="9"/>
    </x:row>
    <x:row r="4" ht="24" customHeight="1">
      <x:c r="A4" s="24" t="str">
        <x:v>Action Queue</x:v>
      </x:c>
      <x:c r="B4" s="25" t="str">
        <x:v>Count</x:v>
      </x:c>
      <x:c r="D4" s="24" t="str">
        <x:v>Pipeline</x:v>
      </x:c>
      <x:c r="E4" s="25" t="str">
        <x:v>Count</x:v>
      </x:c>
    </x:row>
    <x:row r="5" ht="24" customHeight="1">
      <x:c r="A5" s="26" t="str">
        <x:v>Priority (85+)</x:v>
      </x:c>
      <x:c r="B5" s="42" t="n">
        <x:f>COUNTIF('Action Queue'!E5:E50,"&gt;=85")</x:f>
        <x:v>1</x:v>
      </x:c>
      <x:c r="D5" s="26" t="str">
        <x:v>Watch (65–74)</x:v>
      </x:c>
      <x:c r="E5" s="42" t="n">
        <x:f>COUNT('Watch'!D5:D50)</x:f>
        <x:v>11</x:v>
      </x:c>
    </x:row>
    <x:row r="6" ht="24" customHeight="1">
      <x:c r="A6" s="26" t="str">
        <x:v>Qualified (75–84)</x:v>
      </x:c>
      <x:c r="B6" s="42" t="n">
        <x:f>COUNTIFS('Action Queue'!E5:E50,"&gt;=75",'Action Queue'!E5:E50,"&lt;85")</x:f>
        <x:v>2</x:v>
      </x:c>
      <x:c r="D6" s="26" t="str">
        <x:v>Excluded</x:v>
      </x:c>
      <x:c r="E6" s="42" t="n">
        <x:f>COUNTA('Exclusions'!A5:A50)</x:f>
        <x:v>6</x:v>
      </x:c>
    </x:row>
    <x:row r="7" ht="24" customHeight="1">
      <x:c r="A7" s="28" t="str">
        <x:v>Total Action Queue</x:v>
      </x:c>
      <x:c r="B7" s="43" t="n">
        <x:f>SUM(B5:B6)</x:f>
        <x:v>3</x:v>
      </x:c>
      <x:c r="D7" s="28" t="str">
        <x:v>New Action Leads</x:v>
      </x:c>
      <x:c r="E7" s="43" t="n">
        <x:f>COUNTIF('Action Queue'!F5:F50,"New")</x:f>
        <x:v>0</x:v>
      </x:c>
    </x:row>
    <x:row r="8" ht="24" customHeight="1"/>
    <x:row r="9" ht="24" customHeight="1">
      <x:c r="A9" s="38" t="str">
        <x:v>Action Queue — 85+ priority and 75–84 qualified only</x:v>
      </x:c>
      <x:c r="B9" s="38"/>
      <x:c r="C9" s="38"/>
      <x:c r="D9" s="38"/>
      <x:c r="E9" s="38"/>
      <x:c r="F9" s="38"/>
      <x:c r="G9" s="38"/>
      <x:c r="H9" s="38"/>
    </x:row>
    <x:row r="10" ht="24" customHeight="1">
      <x:c r="A10" s="24" t="str">
        <x:v>Lead ID</x:v>
      </x:c>
      <x:c r="B10" s="35" t="str">
        <x:v>Asset</x:v>
      </x:c>
      <x:c r="C10" s="35" t="str">
        <x:v>Classification</x:v>
      </x:c>
      <x:c r="D10" s="35" t="str">
        <x:v>$10M Gate</x:v>
      </x:c>
      <x:c r="E10" s="35" t="str">
        <x:v>Score</x:v>
      </x:c>
      <x:c r="F10" s="35" t="str">
        <x:v>Run Status</x:v>
      </x:c>
      <x:c r="G10" s="35" t="str">
        <x:v>MSA</x:v>
      </x:c>
      <x:c r="H10" s="25" t="str">
        <x:v>Light Tower Angle</x:v>
      </x:c>
    </x:row>
    <x:row r="11" ht="24" customHeight="1">
      <x:c r="A11" s="26" t="str">
        <x:f>'Action Queue'!A5</x:f>
        <x:v>CHI-001</x:v>
      </x:c>
      <x:c r="B11" s="36" t="str">
        <x:f>'Action Queue'!B5</x:f>
        <x:v>Drexel Terraces</x:v>
      </x:c>
      <x:c r="C11" s="36" t="str">
        <x:f>'Action Queue'!C5</x:f>
        <x:v>Capital Event</x:v>
      </x:c>
      <x:c r="D11" s="36" t="str">
        <x:f>'Action Queue'!D5</x:f>
        <x:v>$31.0M original debt</x:v>
      </x:c>
      <x:c r="E11" s="44" t="n">
        <x:f>'Action Queue'!E5</x:f>
        <x:v>85</x:v>
      </x:c>
      <x:c r="F11" s="36" t="str">
        <x:f>'Action Queue'!F5</x:f>
        <x:v>Continuing</x:v>
      </x:c>
      <x:c r="G11" s="36" t="str">
        <x:f>'Action Queue'!H5</x:f>
        <x:v>Chicago MSA</x:v>
      </x:c>
      <x:c r="H11" s="27" t="str">
        <x:f>'Action Queue'!O5</x:f>
        <x:v>Lender dialogue / note-workout capital / receiver-transition senior refinance</x:v>
      </x:c>
    </x:row>
    <x:row r="12" ht="24" customHeight="1">
      <x:c r="A12" s="26" t="str">
        <x:f>'Action Queue'!A6</x:f>
        <x:v>CHI-004</x:v>
      </x:c>
      <x:c r="B12" s="36" t="str">
        <x:f>'Action Queue'!B6</x:f>
        <x:v>Washington Plaza</x:v>
      </x:c>
      <x:c r="C12" s="36" t="str">
        <x:f>'Action Queue'!C6</x:f>
        <x:v>Active Sale</x:v>
      </x:c>
      <x:c r="D12" s="36" t="str">
        <x:f>'Action Queue'!D6</x:f>
        <x:v>$12.0M asking</x:v>
      </x:c>
      <x:c r="E12" s="44" t="n">
        <x:f>'Action Queue'!E6</x:f>
        <x:v>78</x:v>
      </x:c>
      <x:c r="F12" s="36" t="str">
        <x:f>'Action Queue'!F6</x:f>
        <x:v>Continuing</x:v>
      </x:c>
      <x:c r="G12" s="36" t="str">
        <x:f>'Action Queue'!H6</x:f>
        <x:v>Chicago MSA</x:v>
      </x:c>
      <x:c r="H12" s="27" t="str">
        <x:f>'Action Queue'!O6</x:f>
        <x:v>Buyer financing / acquisition-sale advisory / senior refinance</x:v>
      </x:c>
    </x:row>
    <x:row r="13" ht="24" customHeight="1">
      <x:c r="A13" s="28" t="str">
        <x:f>'Action Queue'!A7</x:f>
        <x:v>PHI-006</x:v>
      </x:c>
      <x:c r="B13" s="37" t="str">
        <x:f>'Action Queue'!B7</x:f>
        <x:v>2328–2344 N. 2nd St.</x:v>
      </x:c>
      <x:c r="C13" s="37" t="str">
        <x:f>'Action Queue'!C7</x:f>
        <x:v>Active Sale</x:v>
      </x:c>
      <x:c r="D13" s="37" t="str">
        <x:f>'Action Queue'!D7</x:f>
        <x:v>$12.0M asking</x:v>
      </x:c>
      <x:c r="E13" s="45" t="n">
        <x:f>'Action Queue'!E7</x:f>
        <x:v>77</x:v>
      </x:c>
      <x:c r="F13" s="37" t="str">
        <x:f>'Action Queue'!F7</x:f>
        <x:v>Continuing</x:v>
      </x:c>
      <x:c r="G13" s="37" t="str">
        <x:f>'Action Queue'!H7</x:f>
        <x:v>Philadelphia MSA</x:v>
      </x:c>
      <x:c r="H13" s="29" t="str">
        <x:f>'Action Queue'!O7</x:f>
        <x:v>Buyer financing / lease-transition bridge / acquisition-sale advisory</x:v>
      </x:c>
    </x:row>
    <x:row r="14" ht="24" customHeight="1"/>
    <x:row r="15" ht="24" customHeight="1">
      <x:c r="A15" s="38" t="str">
        <x:v>Run controls &amp; coverage</x:v>
      </x:c>
      <x:c r="B15" s="38"/>
      <x:c r="C15" s="38"/>
      <x:c r="D15" s="38"/>
      <x:c r="E15" s="38"/>
      <x:c r="F15" s="38"/>
      <x:c r="G15" s="38"/>
      <x:c r="H15" s="38"/>
    </x:row>
    <x:row r="16" ht="36" customHeight="1">
      <x:c r="A16" s="41" t="str">
        <x:v>No prospect outreach was drafted, queued, scheduled, implied, or sent. Outreach requires explicit approval of named lead IDs for this specific run.</x:v>
      </x:c>
      <x:c r="B16" s="41"/>
      <x:c r="C16" s="41"/>
      <x:c r="D16" s="41"/>
      <x:c r="E16" s="41"/>
      <x:c r="F16" s="41"/>
      <x:c r="G16" s="41"/>
      <x:c r="H16" s="41"/>
    </x:row>
    <x:row r="17" ht="36" customHeight="1">
      <x:c r="A17" s="41" t="str">
        <x:v>Coverage is targeted public-source research in specified MSAs only; it is never universal coverage or statewide Florida/North Carolina coverage.</x:v>
      </x:c>
      <x:c r="B17" s="41"/>
      <x:c r="C17" s="41"/>
      <x:c r="D17" s="41"/>
      <x:c r="E17" s="41"/>
      <x:c r="F17" s="41"/>
      <x:c r="G17" s="41"/>
      <x:c r="H17" s="41"/>
    </x:row>
    <x:row r="18" ht="36" customHeight="1">
      <x:c r="A18" s="41" t="str">
        <x:v>Kenmore East moved to Exclusions after its direct listing reported it was no longer advertised; current availability must be reverified before reconsideration.</x:v>
      </x:c>
      <x:c r="B18" s="41"/>
      <x:c r="C18" s="41"/>
      <x:c r="D18" s="41"/>
      <x:c r="E18" s="41"/>
      <x:c r="F18" s="41"/>
      <x:c r="G18" s="41"/>
      <x:c r="H18" s="41"/>
    </x:row>
    <x:row r="19" ht="36" customHeight="1">
      <x:c r="A19" s="41" t="str">
        <x:v>The Cooper and 1400 Venice are new Watch items only: respectively RSO status and a dated listing record remain unverified.</x:v>
      </x:c>
      <x:c r="B19" s="41"/>
      <x:c r="C19" s="41"/>
      <x:c r="D19" s="41"/>
      <x:c r="E19" s="41"/>
      <x:c r="F19" s="41"/>
      <x:c r="G19" s="41"/>
      <x:c r="H19" s="41"/>
    </x:row>
  </x:sheetData>
  <x:mergeCells>
    <x:mergeCell ref="A1:H1"/>
    <x:mergeCell ref="A2:H2"/>
    <x:mergeCell ref="A9:H9"/>
    <x:mergeCell ref="A15:H15"/>
    <x:mergeCell ref="A16:H16"/>
    <x:mergeCell ref="A17:H17"/>
    <x:mergeCell ref="A18:H18"/>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8" hidden="0" customWidth="1"/>
    <x:col min="4" max="4" width="18" hidden="0" customWidth="1"/>
    <x:col min="5" max="5" width="10" hidden="0" customWidth="1"/>
    <x:col min="6" max="6" width="13" hidden="0" customWidth="1"/>
    <x:col min="7" max="7" width="28" hidden="0" customWidth="1"/>
    <x:col min="8" max="8" width="18" hidden="0" customWidth="1"/>
    <x:col min="9" max="9" width="10" hidden="0" customWidth="1"/>
    <x:col min="10" max="10" width="17" hidden="0" customWidth="1"/>
    <x:col min="11" max="11" width="36" hidden="0" customWidth="1"/>
    <x:col min="12" max="12" width="55" hidden="0" customWidth="1"/>
    <x:col min="13" max="13" width="48" hidden="0" customWidth="1"/>
    <x:col min="14" max="14" width="48" hidden="0" customWidth="1"/>
    <x:col min="15" max="15" width="45" hidden="0" customWidth="1"/>
    <x:col min="16" max="16" width="15" hidden="0" customWidth="1"/>
    <x:col min="17" max="17" width="12" hidden="0" customWidth="1"/>
    <x:col min="18" max="18" width="25" hidden="0" customWidth="1"/>
    <x:col min="19" max="19" width="36" hidden="0" customWidth="1"/>
    <x:col min="20" max="20" width="56" hidden="0" customWidth="1"/>
  </x:cols>
  <x:sheetData>
    <x:row r="1" ht="28" customHeight="1">
      <x:c r="A1" s="4" t="str">
        <x:v>Action Queue</x:v>
      </x:c>
      <x:c r="B1" s="4"/>
      <x:c r="C1" s="4"/>
      <x:c r="D1" s="4"/>
      <x:c r="E1" s="4"/>
      <x:c r="F1" s="4"/>
      <x:c r="G1" s="4"/>
      <x:c r="H1" s="4"/>
      <x:c r="I1" s="4"/>
      <x:c r="J1" s="4"/>
      <x:c r="K1" s="4"/>
      <x:c r="L1" s="4"/>
      <x:c r="M1" s="4"/>
      <x:c r="N1" s="4"/>
      <x:c r="O1" s="4"/>
      <x:c r="P1" s="4"/>
      <x:c r="Q1" s="4"/>
      <x:c r="R1" s="4"/>
      <x:c r="S1" s="4"/>
      <x:c r="T1" s="4"/>
    </x:row>
    <x:row r="2" ht="30" customHeight="1">
      <x:c r="A2" s="9" t="str">
        <x:v>Only 85+ priority and 75–84 qualified leads. $10M Gate is recorded for each action item.</x:v>
      </x:c>
      <x:c r="B2" s="9"/>
      <x:c r="C2" s="9"/>
      <x:c r="D2" s="9"/>
      <x:c r="E2" s="9"/>
      <x:c r="F2" s="9"/>
      <x:c r="G2" s="9"/>
      <x:c r="H2" s="9"/>
      <x:c r="I2" s="9"/>
      <x:c r="J2" s="9"/>
      <x:c r="K2" s="9"/>
      <x:c r="L2" s="9"/>
      <x:c r="M2" s="9"/>
      <x:c r="N2" s="9"/>
      <x:c r="O2" s="9"/>
      <x:c r="P2" s="9"/>
      <x:c r="Q2" s="9"/>
      <x:c r="R2" s="9"/>
      <x:c r="S2" s="9"/>
      <x:c r="T2" s="9"/>
    </x:row>
    <x:row r="4">
      <x:c r="A4" s="24" t="str">
        <x:v>Lead ID</x:v>
      </x:c>
      <x:c r="B4" s="35" t="str">
        <x:v>Asset</x:v>
      </x:c>
      <x:c r="C4" s="35" t="str">
        <x:v>Classification</x:v>
      </x:c>
      <x:c r="D4" s="35" t="str">
        <x:v>$10M Gate</x:v>
      </x:c>
      <x:c r="E4" s="35" t="str">
        <x:v>Score</x:v>
      </x:c>
      <x:c r="F4" s="35" t="str">
        <x:v>Run Status</x:v>
      </x:c>
      <x:c r="G4" s="35" t="str">
        <x:v>Address</x:v>
      </x:c>
      <x:c r="H4" s="35" t="str">
        <x:v>MSA</x:v>
      </x:c>
      <x:c r="I4" s="35" t="str">
        <x:v>Units</x:v>
      </x:c>
      <x:c r="J4" s="35" t="str">
        <x:v>Asking / Debt ($)</x:v>
      </x:c>
      <x:c r="K4" s="35" t="str">
        <x:v>Owner / Sponsor / Lender / Broker</x:v>
      </x:c>
      <x:c r="L4" s="35" t="str">
        <x:v>Observed Facts</x:v>
      </x:c>
      <x:c r="M4" s="35" t="str">
        <x:v>Inference</x:v>
      </x:c>
      <x:c r="N4" s="35" t="str">
        <x:v>Counterargument</x:v>
      </x:c>
      <x:c r="O4" s="35" t="str">
        <x:v>Light Tower Angle</x:v>
      </x:c>
      <x:c r="P4" s="35" t="str">
        <x:v>Observed / Listing Date</x:v>
      </x:c>
      <x:c r="Q4" s="35" t="str">
        <x:v>Source Tier</x:v>
      </x:c>
      <x:c r="R4" s="35" t="str">
        <x:v>Current Availability</x:v>
      </x:c>
      <x:c r="S4" s="35" t="str">
        <x:v>Verified Public Contact</x:v>
      </x:c>
      <x:c r="T4" s="25" t="str">
        <x:v>Source URL</x:v>
      </x:c>
    </x:row>
    <x:row r="5" ht="64" customHeight="1">
      <x:c r="A5" s="26" t="str">
        <x:v>CHI-001</x:v>
      </x:c>
      <x:c r="B5" s="36" t="str">
        <x:v>Drexel Terraces</x:v>
      </x:c>
      <x:c r="C5" s="36" t="str">
        <x:v>Capital Event</x:v>
      </x:c>
      <x:c r="D5" s="36" t="str">
        <x:v>$31.0M original debt</x:v>
      </x:c>
      <x:c r="E5" s="50" t="n">
        <x:v>85</x:v>
      </x:c>
      <x:c r="F5" s="36" t="str">
        <x:v>Continuing</x:v>
      </x:c>
      <x:c r="G5" s="36" t="str">
        <x:v>4830–4848 1/2 S. Drexel Blvd.</x:v>
      </x:c>
      <x:c r="H5" s="36" t="str">
        <x:v>Chicago MSA</x:v>
      </x:c>
      <x:c r="I5" s="44" t="n">
        <x:v>116</x:v>
      </x:c>
      <x:c r="J5" s="46" t="n">
        <x:v>31000000</x:v>
      </x:c>
      <x:c r="K5" s="36" t="str">
        <x:v>Lowenstein-controlled borrower; Trimont/LNR Partners servicers; Morgan Stanley originator</x:v>
      </x:c>
      <x:c r="L5" s="36" t="str">
        <x:v>May 19 reporting identifies foreclosure, payment default, and receiver motion; June 29 servicing commentary identifies a lender foreclosure/workout strategy.</x:v>
      </x:c>
      <x:c r="M5" s="36" t="str">
        <x:v>Lender-workout path supports note/workout capital, receiver-transition senior financing, or lender-led sale dialogue.</x:v>
      </x:c>
      <x:c r="N5" s="36" t="str">
        <x:v>A cure, modification, or receiver stabilization could defer a disposition; no public sale mandate.</x:v>
      </x:c>
      <x:c r="O5" s="36" t="str">
        <x:v>Lender dialogue / note-workout capital / receiver-transition senior refinance</x:v>
      </x:c>
      <x:c r="P5" s="48" t="n">
        <x:v>46202</x:v>
      </x:c>
      <x:c r="Q5" s="36" t="str">
        <x:v>Tier 2</x:v>
      </x:c>
      <x:c r="R5" s="36" t="str">
        <x:v>Capital event; not confirmed sale process</x:v>
      </x:c>
      <x:c r="S5" s="36" t="str">
        <x:v>Trimont / LNR Partners publicly named; no individual deal contact</x:v>
      </x:c>
      <x:c r="T5" s="27" t="str">
        <x:v>https://dealcharts.org/capitalmarkets/abs/cmbs/counterparty/specialservicer/midland_loan_services</x:v>
      </x:c>
    </x:row>
    <x:row r="6" ht="64" customHeight="1">
      <x:c r="A6" s="26" t="str">
        <x:v>CHI-004</x:v>
      </x:c>
      <x:c r="B6" s="36" t="str">
        <x:v>Washington Plaza</x:v>
      </x:c>
      <x:c r="C6" s="36" t="str">
        <x:v>Active Sale</x:v>
      </x:c>
      <x:c r="D6" s="36" t="str">
        <x:v>$12.0M asking</x:v>
      </x:c>
      <x:c r="E6" s="50" t="n">
        <x:v>78</x:v>
      </x:c>
      <x:c r="F6" s="36" t="str">
        <x:v>Continuing</x:v>
      </x:c>
      <x:c r="G6" s="36" t="str">
        <x:v>5501 W. Washington Blvd.</x:v>
      </x:c>
      <x:c r="H6" s="36" t="str">
        <x:v>Chicago MSA</x:v>
      </x:c>
      <x:c r="I6" s="44" t="n">
        <x:v>172</x:v>
      </x:c>
      <x:c r="J6" s="46" t="n">
        <x:v>12000000</x:v>
      </x:c>
      <x:c r="K6" s="36" t="str">
        <x:v>33 Realty; Brian Mond and George Benitez</x:v>
      </x:c>
      <x:c r="L6" s="36" t="str">
        <x:v>Tier 1 listing remains current; July 22 market date; 172 apartments; 98% occupancy; R-4 zoning.</x:v>
      </x:c>
      <x:c r="M6" s="36" t="str">
        <x:v>Fresh conventional sale process supports buyer financing and acquisition-sale advisory.</x:v>
      </x:c>
      <x:c r="N6" s="36" t="str">
        <x:v>Subsidy contracts, deferred maintenance, seller authority, and rent roll are unverified.</x:v>
      </x:c>
      <x:c r="O6" s="36" t="str">
        <x:v>Buyer financing / acquisition-sale advisory / senior refinance</x:v>
      </x:c>
      <x:c r="P6" s="48" t="n">
        <x:v>46225</x:v>
      </x:c>
      <x:c r="Q6" s="36" t="str">
        <x:v>Tier 1</x:v>
      </x:c>
      <x:c r="R6" s="36" t="str">
        <x:v>Currently available (reviewed Aug. 15)</x:v>
      </x:c>
      <x:c r="S6" s="36" t="str">
        <x:v>Brian Mond +1 773-615-2626; George Benitez +1 239-443-0768</x:v>
      </x:c>
      <x:c r="T6" s="27" t="str">
        <x:v>https://www.loopnet.com/Listing/5501-W-Washington-Blvd-Chicago-IL/41395207/</x:v>
      </x:c>
    </x:row>
    <x:row r="7" ht="64" customHeight="1">
      <x:c r="A7" s="28" t="str">
        <x:v>PHI-006</x:v>
      </x:c>
      <x:c r="B7" s="37" t="str">
        <x:v>2328–2344 N. 2nd St.</x:v>
      </x:c>
      <x:c r="C7" s="37" t="str">
        <x:v>Active Sale</x:v>
      </x:c>
      <x:c r="D7" s="37" t="str">
        <x:v>$12.0M asking</x:v>
      </x:c>
      <x:c r="E7" s="51" t="n">
        <x:v>77</x:v>
      </x:c>
      <x:c r="F7" s="37" t="str">
        <x:v>Continuing</x:v>
      </x:c>
      <x:c r="G7" s="37" t="str">
        <x:v>2328–2344 N. 2nd St.</x:v>
      </x:c>
      <x:c r="H7" s="37" t="str">
        <x:v>Philadelphia MSA</x:v>
      </x:c>
      <x:c r="I7" s="45" t="n">
        <x:v>33</x:v>
      </x:c>
      <x:c r="J7" s="47" t="n">
        <x:v>11999999</x:v>
      </x:c>
      <x:c r="K7" s="37" t="str">
        <x:v>McCann Commercial; Jon O'Shea</x:v>
      </x:c>
      <x:c r="L7" s="37" t="str">
        <x:v>Tier 1 listing remains current; June 22 market date; 33 apartments, 3,750 SF ground-floor commercial, and four adjacent residential parcels; 17 units under master lease through July 2027.</x:v>
      </x:c>
      <x:c r="M7" s="37" t="str">
        <x:v>Sale process and master-lease rollover support buyer financing, lease-transition bridge, or recapitalization analysis.</x:v>
      </x:c>
      <x:c r="N7" s="37" t="str">
        <x:v>Retail, adjacent parcels, master-lease assignability, and campus proximity require underwriting; confirm non-student lease structure.</x:v>
      </x:c>
      <x:c r="O7" s="37" t="str">
        <x:v>Buyer financing / lease-transition bridge / acquisition-sale advisory</x:v>
      </x:c>
      <x:c r="P7" s="49" t="n">
        <x:v>46195</x:v>
      </x:c>
      <x:c r="Q7" s="37" t="str">
        <x:v>Tier 1</x:v>
      </x:c>
      <x:c r="R7" s="37" t="str">
        <x:v>Currently available (reviewed Aug. 15)</x:v>
      </x:c>
      <x:c r="S7" s="37" t="str">
        <x:v>Jon O'Shea +1 267-780-3419</x:v>
      </x:c>
      <x:c r="T7" s="29" t="str">
        <x:v>https://www.loopnet.com/Listing/2328-2344-N-2nd-St-Philadelphia-PA/41009347/</x:v>
      </x:c>
    </x:row>
  </x:sheetData>
  <x:mergeCells>
    <x:mergeCell ref="A1:T1"/>
    <x:mergeCell ref="A2:T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8" hidden="0" customWidth="1"/>
    <x:col min="4" max="4" width="10" hidden="0" customWidth="1"/>
    <x:col min="5" max="5" width="13" hidden="0" customWidth="1"/>
    <x:col min="6" max="6" width="28" hidden="0" customWidth="1"/>
    <x:col min="7" max="7" width="18" hidden="0" customWidth="1"/>
    <x:col min="8" max="8" width="10" hidden="0" customWidth="1"/>
    <x:col min="9" max="9" width="17" hidden="0" customWidth="1"/>
    <x:col min="10" max="10" width="48" hidden="0" customWidth="1"/>
    <x:col min="11" max="11" width="42" hidden="0" customWidth="1"/>
    <x:col min="12" max="12" width="52" hidden="0" customWidth="1"/>
    <x:col min="13" max="13" width="56" hidden="0" customWidth="1"/>
  </x:cols>
  <x:sheetData>
    <x:row r="1" ht="28" customHeight="1">
      <x:c r="A1" s="4" t="str">
        <x:v>Watch</x:v>
      </x:c>
      <x:c r="B1" s="4"/>
      <x:c r="C1" s="4"/>
      <x:c r="D1" s="4"/>
      <x:c r="E1" s="4"/>
      <x:c r="F1" s="4"/>
      <x:c r="G1" s="4"/>
      <x:c r="H1" s="4"/>
      <x:c r="I1" s="4"/>
      <x:c r="J1" s="4"/>
      <x:c r="K1" s="4"/>
      <x:c r="L1" s="4"/>
      <x:c r="M1" s="4"/>
    </x:row>
    <x:row r="2" ht="30" customHeight="1">
      <x:c r="A2" s="9" t="str">
        <x:v>Scores 65–74. Each lead requires the precise verification step shown before promotion.</x:v>
      </x:c>
      <x:c r="B2" s="9"/>
      <x:c r="C2" s="9"/>
      <x:c r="D2" s="9"/>
      <x:c r="E2" s="9"/>
      <x:c r="F2" s="9"/>
      <x:c r="G2" s="9"/>
      <x:c r="H2" s="9"/>
      <x:c r="I2" s="9"/>
      <x:c r="J2" s="9"/>
      <x:c r="K2" s="9"/>
      <x:c r="L2" s="9"/>
      <x:c r="M2" s="9"/>
    </x:row>
    <x:row r="4">
      <x:c r="A4" s="24" t="str">
        <x:v>Lead ID</x:v>
      </x:c>
      <x:c r="B4" s="35" t="str">
        <x:v>Asset</x:v>
      </x:c>
      <x:c r="C4" s="35" t="str">
        <x:v>Classification</x:v>
      </x:c>
      <x:c r="D4" s="35" t="str">
        <x:v>Score</x:v>
      </x:c>
      <x:c r="E4" s="35" t="str">
        <x:v>Run Status</x:v>
      </x:c>
      <x:c r="F4" s="35" t="str">
        <x:v>Address</x:v>
      </x:c>
      <x:c r="G4" s="35" t="str">
        <x:v>MSA</x:v>
      </x:c>
      <x:c r="H4" s="35" t="str">
        <x:v>Units</x:v>
      </x:c>
      <x:c r="I4" s="35" t="str">
        <x:v>Asking / Debt ($)</x:v>
      </x:c>
      <x:c r="J4" s="35" t="str">
        <x:v>Observed Status</x:v>
      </x:c>
      <x:c r="K4" s="35" t="str">
        <x:v>Why Watch</x:v>
      </x:c>
      <x:c r="L4" s="35" t="str">
        <x:v>Next Verification Step</x:v>
      </x:c>
      <x:c r="M4" s="25" t="str">
        <x:v>Source URL</x:v>
      </x:c>
    </x:row>
    <x:row r="5" ht="54" customHeight="1">
      <x:c r="A5" s="26" t="str">
        <x:v>LA-008</x:v>
      </x:c>
      <x:c r="B5" s="36" t="str">
        <x:v>The Cooper</x:v>
      </x:c>
      <x:c r="C5" s="36" t="str">
        <x:v>Active Sale</x:v>
      </x:c>
      <x:c r="D5" s="52" t="n">
        <x:v>71</x:v>
      </x:c>
      <x:c r="E5" s="36" t="str">
        <x:v>New</x:v>
      </x:c>
      <x:c r="F5" s="36" t="str">
        <x:v>6615 Franklin Ave.</x:v>
      </x:c>
      <x:c r="G5" s="36" t="str">
        <x:v>Los Angeles MSA</x:v>
      </x:c>
      <x:c r="H5" s="44" t="n">
        <x:v>75</x:v>
      </x:c>
      <x:c r="I5" s="46" t="n">
        <x:v>18195000</x:v>
      </x:c>
      <x:c r="J5" s="36" t="str">
        <x:v>July 20, 2026 MLS market date; Marcus &amp; Millichap; Rick Raymundo</x:v>
      </x:c>
      <x:c r="K5" s="36" t="str">
        <x:v>1962 vintage makes RSO status material; no primary clearance reviewed.</x:v>
      </x:c>
      <x:c r="L5" s="36" t="str">
        <x:v>Pull HCIDLA RSO determination and OM rent-regulation disclosure.</x:v>
      </x:c>
      <x:c r="M5" s="27" t="str">
        <x:v>https://www.showcase.com/6615-franklin-ave-los-angeles-ca-90028/41365216/</x:v>
      </x:c>
    </x:row>
    <x:row r="6" ht="54" customHeight="1">
      <x:c r="A6" s="26" t="str">
        <x:v>LA-009</x:v>
      </x:c>
      <x:c r="B6" s="36" t="str">
        <x:v>1400 Venice Blvd.</x:v>
      </x:c>
      <x:c r="C6" s="36" t="str">
        <x:v>Active Sale</x:v>
      </x:c>
      <x:c r="D6" s="52" t="n">
        <x:v>72</x:v>
      </x:c>
      <x:c r="E6" s="36" t="str">
        <x:v>New</x:v>
      </x:c>
      <x:c r="F6" s="36" t="str">
        <x:v>1400 Venice Blvd.</x:v>
      </x:c>
      <x:c r="G6" s="36" t="str">
        <x:v>Los Angeles MSA</x:v>
      </x:c>
      <x:c r="H6" s="44" t="n">
        <x:v>31</x:v>
      </x:c>
      <x:c r="I6" s="46" t="n">
        <x:v>12950000</x:v>
      </x:c>
      <x:c r="J6" s="36" t="str">
        <x:v>Broker page says 1988 asset is not subject to LA rent control.</x:v>
      </x:c>
      <x:c r="K6" s="36" t="str">
        <x:v>Listing date is absent; mandatory date-recording gate is unmet.</x:v>
      </x:c>
      <x:c r="L6" s="36" t="str">
        <x:v>Obtain dated exclusive/MLS record, current availability, and OM.</x:v>
      </x:c>
      <x:c r="M6" s="27" t="str">
        <x:v>https://www.kittywallaceteam.com/available-listings</x:v>
      </x:c>
    </x:row>
    <x:row r="7" ht="54" customHeight="1">
      <x:c r="A7" s="26" t="str">
        <x:v>FL-003</x:v>
      </x:c>
      <x:c r="B7" s="36" t="str">
        <x:v>California Club Apartments</x:v>
      </x:c>
      <x:c r="C7" s="36" t="str">
        <x:v>Active Sale</x:v>
      </x:c>
      <x:c r="D7" s="52" t="n">
        <x:v>74</x:v>
      </x:c>
      <x:c r="E7" s="36" t="str">
        <x:v>Continuing</x:v>
      </x:c>
      <x:c r="F7" s="36" t="str">
        <x:v>750 NE 195th St.</x:v>
      </x:c>
      <x:c r="G7" s="36" t="str">
        <x:v>Miami MSA</x:v>
      </x:c>
      <x:c r="H7" s="44" t="n">
        <x:v>64</x:v>
      </x:c>
      <x:c r="I7" s="46" t="n">
        <x:v>11000000</x:v>
      </x:c>
      <x:c r="J7" s="36" t="str">
        <x:v>MLS A12016834 active; MSP Group, LLC; annual leases.</x:v>
      </x:c>
      <x:c r="K7" s="36" t="str">
        <x:v>Pricing/marketing data differ across public syndications; no individual broker verified.</x:v>
      </x:c>
      <x:c r="L7" s="36" t="str">
        <x:v>Obtain exclusive mandate, current OM/rent roll, and restriction confirmation.</x:v>
      </x:c>
      <x:c r="M7" s="27" t="str">
        <x:v>https://www.coldwellbankerhomes.com/fl/miami/750-ne-195th-st/pid_71184682/</x:v>
      </x:c>
    </x:row>
    <x:row r="8" ht="54" customHeight="1">
      <x:c r="A8" s="26" t="str">
        <x:v>CHI-003</x:v>
      </x:c>
      <x:c r="B8" s="36" t="str">
        <x:v>4520–26 S. Drexel Blvd.</x:v>
      </x:c>
      <x:c r="C8" s="36" t="str">
        <x:v>Capital Event</x:v>
      </x:c>
      <x:c r="D8" s="52" t="n">
        <x:v>74</x:v>
      </x:c>
      <x:c r="E8" s="36" t="str">
        <x:v>Continuing</x:v>
      </x:c>
      <x:c r="F8" s="36" t="str">
        <x:v>4520–26 S. Drexel Blvd.</x:v>
      </x:c>
      <x:c r="G8" s="36" t="str">
        <x:v>Chicago MSA</x:v>
      </x:c>
      <x:c r="H8" s="44" t="n">
        <x:v>68</x:v>
      </x:c>
      <x:c r="I8" s="46" t="n">
        <x:v>19400000</x:v>
      </x:c>
      <x:c r="J8" s="36" t="str">
        <x:v>June 10 reporting cites $19.4M+ alleged payoff and Greystone special servicing.</x:v>
      </x:c>
      <x:c r="K8" s="36" t="str">
        <x:v>Corroborating report is derivative; primary docket/receiver order absent.</x:v>
      </x:c>
      <x:c r="L8" s="36" t="str">
        <x:v>Pull Cook County primary docket and receiver order; confirm servicer, timetable, and regulatory constraints.</x:v>
      </x:c>
      <x:c r="M8" s="27" t="str">
        <x:v>https://therealdeal.com/chicago/2026/06/10/greystone-smacks-lowensteins-with-another-cmbs-foreclosure/</x:v>
      </x:c>
    </x:row>
    <x:row r="9" ht="54" customHeight="1">
      <x:c r="A9" s="26" t="str">
        <x:v>NY-001</x:v>
      </x:c>
      <x:c r="B9" s="36" t="str">
        <x:v>30-Unit MF Portfolio Sale</x:v>
      </x:c>
      <x:c r="C9" s="36" t="str">
        <x:v>Active Sale</x:v>
      </x:c>
      <x:c r="D9" s="52" t="n">
        <x:v>73</x:v>
      </x:c>
      <x:c r="E9" s="36" t="str">
        <x:v>Continuing</x:v>
      </x:c>
      <x:c r="F9" s="36" t="str">
        <x:v>Portfolio addresses undisclosed</x:v>
      </x:c>
      <x:c r="G9" s="36" t="str">
        <x:v>NYC MSA</x:v>
      </x:c>
      <x:c r="H9" s="44" t="n">
        <x:v>30</x:v>
      </x:c>
      <x:c r="I9" s="46" t="n">
        <x:v>18050000</x:v>
      </x:c>
      <x:c r="J9" s="36" t="str">
        <x:v>Listing says 100% free-market / occupied; January 5 listing date.</x:v>
      </x:c>
      <x:c r="K9" s="36" t="str">
        <x:v>Listing is stale; component-building regulation is unverified.</x:v>
      </x:c>
      <x:c r="L9" s="36" t="str">
        <x:v>Obtain live mandate, component-building regulatory records, and current price guidance.</x:v>
      </x:c>
      <x:c r="M9" s="27" t="str">
        <x:v>https://www.loopnet.com/Listing/30-Unit-MF-Portfolio-Sale/38971102/</x:v>
      </x:c>
    </x:row>
    <x:row r="10" ht="54" customHeight="1">
      <x:c r="A10" s="26" t="str">
        <x:v>FL-001</x:v>
      </x:c>
      <x:c r="B10" s="36" t="str">
        <x:v>Gables Galiano</x:v>
      </x:c>
      <x:c r="C10" s="36" t="str">
        <x:v>Active Sale</x:v>
      </x:c>
      <x:c r="D10" s="52" t="n">
        <x:v>73</x:v>
      </x:c>
      <x:c r="E10" s="36" t="str">
        <x:v>Continuing</x:v>
      </x:c>
      <x:c r="F10" s="36" t="str">
        <x:v>1091 Galiano St.</x:v>
      </x:c>
      <x:c r="G10" s="36" t="str">
        <x:v>Miami MSA</x:v>
      </x:c>
      <x:c r="H10" s="44" t="n">
        <x:v>27</x:v>
      </x:c>
      <x:c r="I10" s="46" t="n">
        <x:v>20000000</x:v>
      </x:c>
      <x:c r="J10" s="36" t="str">
        <x:v>MLS offering carries January 16 list date and extended marketing duration.</x:v>
      </x:c>
      <x:c r="K10" s="36" t="str">
        <x:v>Marketing duration creates mandate and price-freshness risk.</x:v>
      </x:c>
      <x:c r="L10" s="36" t="str">
        <x:v>Confirm current mandate and seller price flexibility with public broker.</x:v>
      </x:c>
      <x:c r="M10" s="27" t="str">
        <x:v>https://bogatovrealty.com/miami/commercial/4950965/</x:v>
      </x:c>
    </x:row>
    <x:row r="11" ht="54" customHeight="1">
      <x:c r="A11" s="26" t="str">
        <x:v>LA-003</x:v>
      </x:c>
      <x:c r="B11" s="36" t="str">
        <x:v>Nabi Apartments</x:v>
      </x:c>
      <x:c r="C11" s="36" t="str">
        <x:v>Active Sale</x:v>
      </x:c>
      <x:c r="D11" s="52" t="n">
        <x:v>72</x:v>
      </x:c>
      <x:c r="E11" s="36" t="str">
        <x:v>Continuing</x:v>
      </x:c>
      <x:c r="F11" s="36" t="str">
        <x:v>744 S. Mariposa Ave.</x:v>
      </x:c>
      <x:c r="G11" s="36" t="str">
        <x:v>Los Angeles MSA</x:v>
      </x:c>
      <x:c r="H11" s="44" t="n">
        <x:v>31</x:v>
      </x:c>
      <x:c r="I11" s="46" t="n">
        <x:v>10000000</x:v>
      </x:c>
      <x:c r="J11" s="36" t="str">
        <x:v>Broker-facing records show $10.0M offering.</x:v>
      </x:c>
      <x:c r="K11" s="36" t="str">
        <x:v>Listing date not displayed; affordability-covenant status not cleared.</x:v>
      </x:c>
      <x:c r="L11" s="36" t="str">
        <x:v>Obtain current mandate, listing date, affordability status, and T-12.</x:v>
      </x:c>
      <x:c r="M11" s="27" t="str">
        <x:v>https://www.showcase.com/744-s-mariposa-ave-los-angeles-ca-90005/41176859/</x:v>
      </x:c>
    </x:row>
    <x:row r="12" ht="54" customHeight="1">
      <x:c r="A12" s="26" t="str">
        <x:v>LA-007</x:v>
      </x:c>
      <x:c r="B12" s="36" t="str">
        <x:v>The Jeffries</x:v>
      </x:c>
      <x:c r="C12" s="36" t="str">
        <x:v>Active Sale</x:v>
      </x:c>
      <x:c r="D12" s="52" t="n">
        <x:v>71</x:v>
      </x:c>
      <x:c r="E12" s="36" t="str">
        <x:v>Continuing</x:v>
      </x:c>
      <x:c r="F12" s="36" t="str">
        <x:v>117 Winston St.</x:v>
      </x:c>
      <x:c r="G12" s="36" t="str">
        <x:v>Los Angeles MSA</x:v>
      </x:c>
      <x:c r="H12" s="44" t="n">
        <x:v>43</x:v>
      </x:c>
      <x:c r="I12" s="46" t="n">
        <x:v>10600000</x:v>
      </x:c>
      <x:c r="J12" s="36" t="str">
        <x:v>Listing states RSO-exempt but mixed use.</x:v>
      </x:c>
      <x:c r="K12" s="36" t="str">
        <x:v>Residential-income dominance and retail scope are not cleared.</x:v>
      </x:c>
      <x:c r="L12" s="36" t="str">
        <x:v>Obtain OM/broker confirmation of residential income dominance and retail scope.</x:v>
      </x:c>
      <x:c r="M12" s="27" t="str">
        <x:v>https://www.loopnet.com/Listing/117-Winston-St-Los-Angeles-CA/40413204/</x:v>
      </x:c>
    </x:row>
    <x:row r="13" ht="54" customHeight="1">
      <x:c r="A13" s="26" t="str">
        <x:v>PHI-008</x:v>
      </x:c>
      <x:c r="B13" s="36" t="str">
        <x:v>220–222 Church St.</x:v>
      </x:c>
      <x:c r="C13" s="36" t="str">
        <x:v>Active Sale</x:v>
      </x:c>
      <x:c r="D13" s="52" t="n">
        <x:v>70</x:v>
      </x:c>
      <x:c r="E13" s="36" t="str">
        <x:v>Continuing</x:v>
      </x:c>
      <x:c r="F13" s="36" t="str">
        <x:v>220–222 Church St.</x:v>
      </x:c>
      <x:c r="G13" s="36" t="str">
        <x:v>Philadelphia MSA</x:v>
      </x:c>
      <x:c r="H13" s="44" t="n">
        <x:v>40</x:v>
      </x:c>
      <x:c r="I13" s="46" t="n">
        <x:v>12000000</x:v>
      </x:c>
      <x:c r="J13" s="36" t="str">
        <x:v>Record has unit-count differences, commercial anchors, and retail/short-term-stay issues.</x:v>
      </x:c>
      <x:c r="K13" s="36" t="str">
        <x:v>Use and unit count remain ambiguous.</x:v>
      </x:c>
      <x:c r="L13" s="36" t="str">
        <x:v>Confirm unit count, apartment-income dominance, and live mandate.</x:v>
      </x:c>
      <x:c r="M13" s="27" t="str">
        <x:v>https://www.loopnet.com/Listing/220-222-Church-St-Philadelphia-PA/39165415/</x:v>
      </x:c>
    </x:row>
    <x:row r="14" ht="54" customHeight="1">
      <x:c r="A14" s="26" t="str">
        <x:v>PHI-007</x:v>
      </x:c>
      <x:c r="B14" s="36" t="str">
        <x:v>The Maxfield</x:v>
      </x:c>
      <x:c r="C14" s="36" t="str">
        <x:v>Active Sale</x:v>
      </x:c>
      <x:c r="D14" s="52" t="n">
        <x:v>70</x:v>
      </x:c>
      <x:c r="E14" s="36" t="str">
        <x:v>Continuing</x:v>
      </x:c>
      <x:c r="F14" s="36" t="str">
        <x:v>1533 Parrish St.</x:v>
      </x:c>
      <x:c r="G14" s="36" t="str">
        <x:v>Philadelphia MSA</x:v>
      </x:c>
      <x:c r="H14" s="44"/>
      <x:c r="I14" s="46"/>
      <x:c r="J14" s="36" t="str">
        <x:v>Long-marketed listing uses placeholder pro forma.</x:v>
      </x:c>
      <x:c r="K14" s="36" t="str">
        <x:v>Pricing / actual operating performance cannot be relied upon.</x:v>
      </x:c>
      <x:c r="L14" s="36" t="str">
        <x:v>Obtain current mandate, true T-12, and market-rate confirmation.</x:v>
      </x:c>
      <x:c r="M14" s="27" t="str">
        <x:v>https://www.loopnet.com/Listing/1533-Parrish-St-Philadelphia-PA/35238282/</x:v>
      </x:c>
    </x:row>
    <x:row r="15" ht="54" customHeight="1">
      <x:c r="A15" s="28" t="str">
        <x:v>FL-004</x:v>
      </x:c>
      <x:c r="B15" s="37" t="str">
        <x:v>601 NE 22nd St.</x:v>
      </x:c>
      <x:c r="C15" s="37" t="str">
        <x:v>Active Sale</x:v>
      </x:c>
      <x:c r="D15" s="53" t="n">
        <x:v>70</x:v>
      </x:c>
      <x:c r="E15" s="37" t="str">
        <x:v>Continuing</x:v>
      </x:c>
      <x:c r="F15" s="37" t="str">
        <x:v>601 NE 22nd St.</x:v>
      </x:c>
      <x:c r="G15" s="37" t="str">
        <x:v>Miami MSA</x:v>
      </x:c>
      <x:c r="H15" s="45"/>
      <x:c r="I15" s="47" t="n">
        <x:v>11777000</x:v>
      </x:c>
      <x:c r="J15" s="37" t="str">
        <x:v>Listing has Feb. 26, 2025 date and syndication unit-count differences.</x:v>
      </x:c>
      <x:c r="K15" s="37" t="str">
        <x:v>Materially stale; restriction status and current seller intent unknown.</x:v>
      </x:c>
      <x:c r="L15" s="37" t="str">
        <x:v>Obtain written current mandate, seller intent, restriction status, and rent roll.</x:v>
      </x:c>
      <x:c r="M15" s="29" t="str">
        <x:v>https://www.canvasre.com/property/43-A11774630-601-Ne-22nd-St-Miami-FL-33137/</x:v>
      </x:c>
    </x:row>
  </x:sheetData>
  <x:mergeCells>
    <x:mergeCell ref="A1:M1"/>
    <x:mergeCell ref="A2:M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46" hidden="0" customWidth="1"/>
    <x:col min="3" max="3" width="28" hidden="0" customWidth="1"/>
    <x:col min="4" max="4" width="75" hidden="0" customWidth="1"/>
    <x:col min="5" max="5" width="60" hidden="0" customWidth="1"/>
  </x:cols>
  <x:sheetData>
    <x:row r="1" ht="28" customHeight="1">
      <x:c r="A1" s="4" t="str">
        <x:v>Exclusions</x:v>
      </x:c>
      <x:c r="B1" s="4"/>
      <x:c r="C1" s="4"/>
      <x:c r="D1" s="4"/>
      <x:c r="E1" s="4"/>
    </x:row>
    <x:row r="2" ht="30" customHeight="1">
      <x:c r="A2" s="9" t="str">
        <x:v>Items retained outside the primary queue because they do not meet active-sale, conventional-multifamily, or regulatory-clearance requirements.</x:v>
      </x:c>
      <x:c r="B2" s="9"/>
      <x:c r="C2" s="9"/>
      <x:c r="D2" s="9"/>
      <x:c r="E2" s="9"/>
    </x:row>
    <x:row r="4">
      <x:c r="A4" s="24" t="str">
        <x:v>Lead ID</x:v>
      </x:c>
      <x:c r="B4" s="35" t="str">
        <x:v>Asset / Group</x:v>
      </x:c>
      <x:c r="C4" s="35" t="str">
        <x:v>Exclusion Basis</x:v>
      </x:c>
      <x:c r="D4" s="35" t="str">
        <x:v>Observed Reason</x:v>
      </x:c>
      <x:c r="E4" s="25" t="str">
        <x:v>Source URL</x:v>
      </x:c>
    </x:row>
    <x:row r="5" ht="46" customHeight="1">
      <x:c r="A5" s="26" t="str">
        <x:v>CHI-002</x:v>
      </x:c>
      <x:c r="B5" s="36" t="str">
        <x:v>Kenmore East Apartments</x:v>
      </x:c>
      <x:c r="C5" s="54" t="str">
        <x:v>Current availability unverified</x:v>
      </x:c>
      <x:c r="D5" s="36" t="str">
        <x:v>Direct Tier 1 listing now says it is no longer advertised; do not treat as active sale without new exclusive mandate or broker confirmation.</x:v>
      </x:c>
      <x:c r="E5" s="27" t="str">
        <x:v>https://www.loopnet.com/Listing/5417-N-Kenmore-Ave-Chicago-IL/40025034/</x:v>
      </x:c>
    </x:row>
    <x:row r="6" ht="46" customHeight="1">
      <x:c r="A6" s="26" t="str">
        <x:v>FL-X01</x:v>
      </x:c>
      <x:c r="B6" s="36" t="str">
        <x:v>Sunshine, 4110 NW 22nd Ave.; 2629 NW 17th Ave.</x:v>
      </x:c>
      <x:c r="C6" s="54" t="str">
        <x:v>Product mismatch</x:v>
      </x:c>
      <x:c r="D6" s="36" t="str">
        <x:v>Under-construction/mixed-use project and high-density redevelopment/workforce-housing play.</x:v>
      </x:c>
      <x:c r="E6" s="27" t="str"/>
    </x:row>
    <x:row r="7" ht="46" customHeight="1">
      <x:c r="A7" s="26" t="str">
        <x:v>LA-X01</x:v>
      </x:c>
      <x:c r="B7" s="36" t="str">
        <x:v>4186 S. Western Ave.; 1350 W. Court St.; The Peake; 5110 N. Bakman Ave.</x:v>
      </x:c>
      <x:c r="C7" s="54" t="str">
        <x:v>Regulatory restriction</x:v>
      </x:c>
      <x:c r="D7" s="36" t="str">
        <x:v>Restricted-affordable or uncleared TOC/HCA characteristics.</x:v>
      </x:c>
      <x:c r="E7" s="27" t="str"/>
    </x:row>
    <x:row r="8" ht="46" customHeight="1">
      <x:c r="A8" s="26" t="str">
        <x:v>LA-X02</x:v>
      </x:c>
      <x:c r="B8" s="36" t="str">
        <x:v>The Centennial; Metropolitan Building</x:v>
      </x:c>
      <x:c r="C8" s="54" t="str">
        <x:v>RSO / affordable</x:v>
      </x:c>
      <x:c r="D8" s="36" t="str">
        <x:v>Public evidence identifies affordable or RSO constraints.</x:v>
      </x:c>
      <x:c r="E8" s="27" t="str"/>
    </x:row>
    <x:row r="9" ht="46" customHeight="1">
      <x:c r="A9" s="26" t="str">
        <x:v>PHI-X01</x:v>
      </x:c>
      <x:c r="B9" s="36" t="str">
        <x:v>3207 Spring Garden; 4210–4216 Chestnut; 4200 Ludlow; 4042/4046–48 Chestnut</x:v>
      </x:c>
      <x:c r="C9" s="54" t="str">
        <x:v>Student housing</x:v>
      </x:c>
      <x:c r="D9" s="36" t="str">
        <x:v>Student-housing / rent-by-bed characteristics.</x:v>
      </x:c>
      <x:c r="E9" s="27" t="str"/>
    </x:row>
    <x:row r="10" ht="46" customHeight="1">
      <x:c r="A10" s="28" t="str">
        <x:v>PHI-X02</x:v>
      </x:c>
      <x:c r="B10" s="37" t="str">
        <x:v>220–250 S. 5th St.</x:v>
      </x:c>
      <x:c r="C10" s="55" t="str">
        <x:v>Development land</x:v>
      </x:c>
      <x:c r="D10" s="37" t="str">
        <x:v>Land/development opportunity, not an existing conventional-rental acquisition.</x:v>
      </x:c>
      <x:c r="E10" s="29" t="str"/>
    </x:row>
  </x:sheetData>
  <x:mergeCells>
    <x:mergeCell ref="A1:E1"/>
    <x:mergeCell ref="A2:E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95" hidden="0" customWidth="1"/>
    <x:col min="3" max="3" width="22" hidden="0" customWidth="1"/>
    <x:col min="4" max="4" width="48" hidden="0" customWidth="1"/>
  </x:cols>
  <x:sheetData>
    <x:row r="1" ht="28" customHeight="1">
      <x:c r="A1" s="4" t="str">
        <x:v>Coverage &amp; Sources</x:v>
      </x:c>
      <x:c r="B1" s="4"/>
      <x:c r="C1" s="4"/>
      <x:c r="D1" s="4"/>
    </x:row>
    <x:row r="2" ht="30" customHeight="1">
      <x:c r="A2" s="9" t="str">
        <x:v>Run constraints, market gaps, and source-tier operating standards.</x:v>
      </x:c>
      <x:c r="B2" s="9"/>
      <x:c r="C2" s="9"/>
      <x:c r="D2" s="9"/>
    </x:row>
    <x:row r="4">
      <x:c r="A4" s="24" t="str">
        <x:v>Topic</x:v>
      </x:c>
      <x:c r="B4" s="25" t="str">
        <x:v>Detail</x:v>
      </x:c>
    </x:row>
    <x:row r="5" ht="45" customHeight="1">
      <x:c r="A5" s="26" t="str">
        <x:v>Coverage limitation</x:v>
      </x:c>
      <x:c r="B5" s="27" t="str">
        <x:v>Targeted public-source research only; not universal listing coverage and never statewide Florida or North Carolina coverage.</x:v>
      </x:c>
    </x:row>
    <x:row r="6" ht="45" customHeight="1">
      <x:c r="A6" s="26" t="str">
        <x:v>No new qualified action lead</x:v>
      </x:c>
      <x:c r="B6" s="27" t="str">
        <x:v>NYC; named North Carolina MSAs; Tampa, Orlando, Jacksonville, Fort Myers, Naples, Sarasota, Palm Bay, Lakeland, Daytona Beach; non-screened portions of named MSAs.</x:v>
      </x:c>
    </x:row>
    <x:row r="7" ht="45" customHeight="1">
      <x:c r="A7" s="26" t="str">
        <x:v>Action threshold</x:v>
      </x:c>
      <x:c r="B7" s="27" t="str">
        <x:v>Only 85+ priority and 75–84 qualified leads are in Action Queue. Scores above 69 need Tier 1 evidence or two independent Tier 2 sources.</x:v>
      </x:c>
    </x:row>
    <x:row r="8" ht="45" customHeight="1">
      <x:c r="A8" s="28" t="str">
        <x:v>Outreach control</x:v>
      </x:c>
      <x:c r="B8" s="29" t="str">
        <x:v>No outreach drafted, queued, scheduled, implied, or sent. Explicit approval of named IDs is required for this run.</x:v>
      </x:c>
    </x:row>
    <x:row r="10">
      <x:c r="A10" s="38" t="str">
        <x:v>Source-tier hierarchy</x:v>
      </x:c>
      <x:c r="B10" s="38"/>
      <x:c r="C10" s="38"/>
      <x:c r="D10" s="38"/>
    </x:row>
    <x:row r="11">
      <x:c r="A11" s="24" t="str">
        <x:v>Tier</x:v>
      </x:c>
      <x:c r="B11" s="35" t="str">
        <x:v>Permitted Source Type</x:v>
      </x:c>
      <x:c r="C11" s="35" t="str">
        <x:v>Use</x:v>
      </x:c>
      <x:c r="D11" s="25" t="str">
        <x:v>Promotion Standard</x:v>
      </x:c>
    </x:row>
    <x:row r="12" ht="52" customHeight="1">
      <x:c r="A12" s="26" t="str">
        <x:v>Tier 1</x:v>
      </x:c>
      <x:c r="B12" s="36" t="str">
        <x:v>Direct broker/owner/lender/receiver/servicer/auction listing, OM, dated/price/named-contact MLS, public court/recorder/CMBS/servicer records</x:v>
      </x:c>
      <x:c r="C12" s="36" t="str">
        <x:v>Decision evidence</x:v>
      </x:c>
      <x:c r="D12" s="27" t="str">
        <x:v>Required for top-scoring direct evidence where available</x:v>
      </x:c>
    </x:row>
    <x:row r="13" ht="52" customHeight="1">
      <x:c r="A13" s="26" t="str">
        <x:v>Tier 2</x:v>
      </x:c>
      <x:c r="B13" s="36" t="str">
        <x:v>SEC filings, broker announcements, credible CRE trade press, public sponsor/lender communication</x:v>
      </x:c>
      <x:c r="C13" s="36" t="str">
        <x:v>Corroboration</x:v>
      </x:c>
      <x:c r="D13" s="27" t="str">
        <x:v>Two independent sources can support a score above 69</x:v>
      </x:c>
    </x:row>
    <x:row r="14" ht="52" customHeight="1">
      <x:c r="A14" s="28" t="str">
        <x:v>Tier 3</x:v>
      </x:c>
      <x:c r="B14" s="37" t="str">
        <x:v>Discovery-only sources</x:v>
      </x:c>
      <x:c r="C14" s="37" t="str">
        <x:v>Lead discovery</x:v>
      </x:c>
      <x:c r="D14" s="29" t="str">
        <x:v>Never sufficient for promotion</x:v>
      </x:c>
    </x:row>
  </x:sheetData>
  <x:mergeCells>
    <x:mergeCell ref="A1:D1"/>
    <x:mergeCell ref="A2:D2"/>
    <x:mergeCell ref="A10:D10"/>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88" t="str">
        <x:v>Light Tower Group — Daily $10M+ Multifamily Sale &amp; Capital Opportunity Engine</x:v>
      </x:c>
      <x:c r="B1" s="88"/>
      <x:c r="C1" s="88"/>
      <x:c r="D1" s="88"/>
      <x:c r="E1" s="88"/>
      <x:c r="F1" s="88"/>
      <x:c r="G1" s="88"/>
      <x:c r="H1" s="88"/>
      <x:c r="I1" s="88"/>
      <x:c r="J1" s="88"/>
      <x:c r="K1" s="88"/>
      <x:c r="L1" s="88"/>
      <x:c r="M1" s="88"/>
      <x:c r="N1" s="88"/>
      <x:c r="O1" s="88"/>
      <x:c r="P1" s="88"/>
      <x:c r="Q1" s="88"/>
      <x:c r="R1" s="88"/>
      <x:c r="S1" s="88"/>
      <x:c r="T1" s="88"/>
      <x:c r="U1" s="88"/>
    </x:row>
    <x:row r="2" ht="30" customHeight="1">
      <x:c r="A2" s="63" t="str">
        <x:v>Run date: August 30, 2026 | Report-only | Targeted public-source sweep | No prospect outreach prepared, queued, scheduled, implied, or sent.</x:v>
      </x:c>
      <x:c r="B2" s="63"/>
      <x:c r="C2" s="63"/>
      <x:c r="D2" s="63"/>
      <x:c r="E2" s="63"/>
      <x:c r="F2" s="63"/>
      <x:c r="G2" s="63"/>
      <x:c r="H2" s="63"/>
      <x:c r="I2" s="63"/>
      <x:c r="J2" s="63"/>
      <x:c r="K2" s="63"/>
      <x:c r="L2" s="63"/>
      <x:c r="M2" s="63"/>
      <x:c r="N2" s="63"/>
      <x:c r="O2" s="63"/>
      <x:c r="P2" s="63"/>
      <x:c r="Q2" s="63"/>
      <x:c r="R2" s="63"/>
      <x:c r="S2" s="63"/>
      <x:c r="T2" s="63"/>
      <x:c r="U2" s="63"/>
    </x:row>
    <x:row r="4">
      <x:c r="A4" s="66" t="str">
        <x:v>Action queue</x:v>
      </x:c>
      <x:c r="B4" s="66" t="str">
        <x:v>Count</x:v>
      </x:c>
      <x:c r="D4" s="66" t="str">
        <x:v>Pipeline</x:v>
      </x:c>
      <x:c r="E4" s="66" t="str">
        <x:v>Count</x:v>
      </x:c>
    </x:row>
    <x:row r="5">
      <x:c r="A5" s="67" t="str">
        <x:v>Priority (85+)</x:v>
      </x:c>
      <x:c r="B5" s="69" t="n">
        <x:v>0</x:v>
      </x:c>
      <x:c r="D5" s="67" t="str">
        <x:v>Watch (65–74)</x:v>
      </x:c>
      <x:c r="E5" s="69" t="n">
        <x:v>11</x:v>
      </x:c>
    </x:row>
    <x:row r="6">
      <x:c r="A6" s="67" t="str">
        <x:v>Qualified (75–84)</x:v>
      </x:c>
      <x:c r="B6" s="69" t="n">
        <x:v>4</x:v>
      </x:c>
      <x:c r="D6" s="67" t="str">
        <x:v>New Watch items</x:v>
      </x:c>
      <x:c r="E6" s="69" t="n">
        <x:v>2</x:v>
      </x:c>
    </x:row>
    <x:row r="7">
      <x:c r="A7" s="67" t="str">
        <x:v>New qualified action leads</x:v>
      </x:c>
      <x:c r="B7" s="69" t="n">
        <x:v>0</x:v>
      </x:c>
      <x:c r="D7" s="67" t="str">
        <x:v>Excluded / repriced finds</x:v>
      </x:c>
      <x:c r="E7" s="69" t="n">
        <x:v>2</x:v>
      </x:c>
    </x:row>
    <x:row r="9">
      <x:c r="A9" s="70" t="str">
        <x:v>Action Queue — qualified only (75–84); each item clears the $10M gate and has a current, public source.</x:v>
      </x:c>
      <x:c r="B9" s="70"/>
      <x:c r="C9" s="70"/>
      <x:c r="D9" s="70"/>
      <x:c r="E9" s="70"/>
      <x:c r="F9" s="70"/>
      <x:c r="G9" s="70"/>
      <x:c r="H9" s="70"/>
      <x:c r="I9" s="70"/>
      <x:c r="J9" s="70"/>
      <x:c r="K9" s="70"/>
      <x:c r="L9" s="70"/>
      <x:c r="M9" s="70"/>
      <x:c r="N9" s="70"/>
      <x:c r="O9" s="70"/>
      <x:c r="P9" s="70"/>
      <x:c r="Q9" s="70"/>
      <x:c r="R9" s="70"/>
      <x:c r="S9" s="70"/>
      <x:c r="T9" s="70"/>
      <x:c r="U9" s="70"/>
    </x:row>
    <x:row r="10" ht="36" customHeight="1">
      <x:c r="A10" s="74" t="str">
        <x:v>Lead ID</x:v>
      </x:c>
      <x:c r="B10" s="74" t="str">
        <x:v>Asset</x:v>
      </x:c>
      <x:c r="C10" s="74" t="str">
        <x:v>Class</x:v>
      </x:c>
      <x:c r="D10" s="74" t="str">
        <x:v>$10M Gate</x:v>
      </x:c>
      <x:c r="E10" s="74" t="str">
        <x:v>Score</x:v>
      </x:c>
      <x:c r="F10" s="74" t="str">
        <x:v>Run Status</x:v>
      </x:c>
      <x:c r="G10" s="74" t="str">
        <x:v>Address</x:v>
      </x:c>
      <x:c r="H10" s="74" t="str">
        <x:v>MSA</x:v>
      </x:c>
      <x:c r="I10" s="74" t="str">
        <x:v>Units</x:v>
      </x:c>
      <x:c r="J10" s="74" t="str">
        <x:v>Asking / Debt ($)</x:v>
      </x:c>
      <x:c r="K10" s="74" t="str">
        <x:v>Owner / Sponsor / Lender / Broker</x:v>
      </x:c>
      <x:c r="L10" s="74" t="str">
        <x:v>Observed Facts</x:v>
      </x:c>
      <x:c r="M10" s="74" t="str">
        <x:v>Inference</x:v>
      </x:c>
      <x:c r="N10" s="74" t="str">
        <x:v>Counterargument</x:v>
      </x:c>
      <x:c r="O10" s="74" t="str">
        <x:v>Light Tower Angle</x:v>
      </x:c>
      <x:c r="P10" s="74" t="str">
        <x:v>Observed / Listing Date</x:v>
      </x:c>
      <x:c r="Q10" s="74" t="str">
        <x:v>Source Tier</x:v>
      </x:c>
      <x:c r="R10" s="74" t="str">
        <x:v>Current Availability</x:v>
      </x:c>
      <x:c r="S10" s="74" t="str">
        <x:v>Verified Public Contact</x:v>
      </x:c>
      <x:c r="T10" s="74" t="str">
        <x:v>Source URL</x:v>
      </x:c>
      <x:c r="U10" s="74" t="str">
        <x:v>Score detail</x:v>
      </x:c>
    </x:row>
    <x:row r="11" ht="82"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from December, receiver motion, and roughly $35M foreclosure claim; independent April reporting identifies March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2026-05-19 trigger; reviewed 2026-08-30</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2"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2019 Class A, 18-unit apartment property, stated 100% occupancy, 4.60% cap rate, listed Aug. 3, and currently available.</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2026-08-30</x:v>
      </x:c>
      <x:c r="Q12" s="75" t="str">
        <x:v>Tier 1</x:v>
      </x:c>
      <x:c r="R12" s="75" t="str">
        <x:v>Currently available</x:v>
      </x:c>
      <x:c r="S12" s="75" t="str">
        <x:v>Alex Galuz, KW Commercial, +1 310-466-0888</x:v>
      </x:c>
      <x:c r="T12" s="75" t="str">
        <x:v>https://www.loopnet.com/Listing/3675-Dunn-Dr-Los-Angeles-CA/41534752/</x:v>
      </x:c>
      <x:c r="U12" s="75" t="str">
        <x:v>35+0+15+9+15+5 = 79</x:v>
      </x:c>
    </x:row>
    <x:row r="13" ht="82"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172 apartments, 98% stated occupancy, R-4 zoning, July 22 market date, and current availability.</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2026-08-30</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2"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33 apartments, 3,750 SF ground-floor commercial, four adjacent residential parcels, 85%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age of listing reduces recency score.</x:v>
      </x:c>
      <x:c r="O14" s="75" t="str">
        <x:v>Buyer financing / lease-transition bridge / acquisition-sale advisory</x:v>
      </x:c>
      <x:c r="P14" s="75" t="str">
        <x:v>Listed 2026-06-22; reviewed 2026-08-30</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81" t="str">
        <x:v>Watch (65–74) — verification required before promotion</x:v>
      </x:c>
      <x:c r="B16" s="81"/>
      <x:c r="C16" s="81"/>
      <x:c r="D16" s="81"/>
      <x:c r="E16" s="81"/>
      <x:c r="F16" s="81"/>
    </x:row>
    <x:row r="17">
      <x:c r="A17" s="82" t="str">
        <x:v>Lead ID</x:v>
      </x:c>
      <x:c r="B17" s="82" t="str">
        <x:v>Class / Score</x:v>
      </x:c>
      <x:c r="C17" s="82" t="str">
        <x:v>$10M Gate / Asset</x:v>
      </x:c>
      <x:c r="D17" s="82" t="str">
        <x:v>Observed Facts</x:v>
      </x:c>
      <x:c r="E17" s="82" t="str">
        <x:v>Exact next verification step</x:v>
      </x:c>
      <x:c r="F17" s="82" t="str">
        <x:v>Source / Date</x:v>
      </x:c>
    </x:row>
    <x:row r="18" ht="58" customHeight="1">
      <x:c r="A18" s="75" t="str">
        <x:v>FL-007</x:v>
      </x:c>
      <x:c r="B18" s="75" t="str">
        <x:v>Active Sale / 72 (New)</x:v>
      </x:c>
      <x:c r="C18" s="75" t="str">
        <x:v>650 SW 1st St, Miami — ~$10.90M implied by $519,048/unit x 21 residential units</x:v>
      </x:c>
      <x:c r="D18" s="75" t="str">
        <x:v>Tier 1 listing is active from Aug. 15; 21 residential units plus one 450-SF ground-floor retail suite; no named sale-side contact shown.</x:v>
      </x:c>
      <x:c r="E18" s="75" t="str">
        <x:v>Obtain signed sale mandate / explicit total ask, current rent roll, and confirmation that retail is immaterial and no restrictions apply.</x:v>
      </x:c>
      <x:c r="F18" s="75" t="str">
        <x:v>https://www.loopnet.com/Listing/650-SW-1st-St-Miami-FL/41764910/ | 2026-08-15; reviewed 2026-08-30</x:v>
      </x:c>
    </x:row>
    <x:row r="19" ht="58" customHeight="1">
      <x:c r="A19" s="75" t="str">
        <x:v>FL-008</x:v>
      </x:c>
      <x:c r="B19" s="75" t="str">
        <x:v>Active Sale / 68 (New)</x:v>
      </x:c>
      <x:c r="C19" s="75" t="str">
        <x:v>300 Majorca Ave, Coral Gables — $12.75M asking / 17 apartments</x:v>
      </x:c>
      <x:c r="D19" s="75" t="str">
        <x:v>Public broker listing identifies a 17-unit rental building, but the visible record has no current market date; it was originally constructed as condos.</x:v>
      </x:c>
      <x:c r="E19" s="75" t="str">
        <x:v>Obtain current Marcus &amp; Millichap mandate, listing date, rental-vs-condo status, and rent-regulation/covenant confirmation.</x:v>
      </x:c>
      <x:c r="F19" s="75" t="str">
        <x:v>https://www.showcase.com/300-majorca-ave-coral-gables-fl-33134/31157564/ | reviewed 2026-08-30</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2026-08-30</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yet in file.</x:v>
      </x:c>
      <x:c r="E22" s="75" t="str">
        <x:v>Pull Hillsborough complaint, mortgage/assignment, lender/borrower linkage, and restriction evidence.</x:v>
      </x:c>
      <x:c r="F22" s="75" t="str">
        <x:v>Prior public reporting; review 2026-08-30</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2026-08-30</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2026-08-30</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2026-08-30</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2026-08-30</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2026-08-30</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2026-08-30</x:v>
      </x:c>
    </x:row>
    <x:row r="30">
      <x:c r="A30" s="85" t="str">
        <x:v>Exclusions, controls, and coverage gaps</x:v>
      </x:c>
      <x:c r="B30" s="85"/>
      <x:c r="C30" s="85"/>
      <x:c r="D30" s="85"/>
      <x:c r="E30" s="85"/>
      <x:c r="F30" s="85"/>
      <x:c r="G30" s="85"/>
      <x:c r="H30" s="85"/>
      <x:c r="I30" s="85"/>
      <x:c r="J30" s="85"/>
      <x:c r="K30" s="85"/>
      <x:c r="L30" s="85"/>
      <x:c r="M30" s="85"/>
      <x:c r="N30" s="85"/>
      <x:c r="O30" s="85"/>
      <x:c r="P30" s="85"/>
      <x:c r="Q30" s="85"/>
      <x:c r="R30" s="85"/>
      <x:c r="S30" s="85"/>
      <x:c r="T30" s="85"/>
      <x:c r="U30" s="85"/>
    </x:row>
    <x:row r="31">
      <x:c r="A31" s="87" t="str">
        <x:v>Item</x:v>
      </x:c>
      <x:c r="B31" s="87" t="str">
        <x:v>Classification / reason</x:v>
      </x:c>
      <x:c r="C31" s="87" t="str">
        <x:v>Evidence and action</x:v>
      </x:c>
      <x:c r="D31" s="87"/>
      <x:c r="E31" s="87"/>
      <x:c r="F31" s="87"/>
      <x:c r="G31" s="87"/>
      <x:c r="H31" s="87"/>
      <x:c r="I31" s="87"/>
      <x:c r="J31" s="87"/>
      <x:c r="K31" s="87"/>
      <x:c r="L31" s="87"/>
      <x:c r="M31" s="87"/>
      <x:c r="N31" s="87"/>
      <x:c r="O31" s="87"/>
      <x:c r="P31" s="87"/>
      <x:c r="Q31" s="87"/>
      <x:c r="R31" s="87"/>
      <x:c r="S31" s="87"/>
      <x:c r="T31" s="87"/>
      <x:c r="U31" s="87"/>
    </x:row>
    <x:row r="32" ht="60" customHeight="1">
      <x:c r="A32" s="75" t="str">
        <x:v>Allapattah 23 — 2311–2325 NW 22nd Ave, Miami</x:v>
      </x:c>
      <x:c r="B32" s="75" t="str">
        <x:v>Excluded — current price below $10M gate; product record also includes Multifamily Dormitory subtype</x:v>
      </x:c>
      <x:c r="C32" s="75" t="str">
        <x:v>Direct current listing now shows $9.5M / 23 units, despite stale search results showing $10.999M. Do not promote without a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12" t="str">
        <x:v>Light Tower Group — Daily $10M+ Multifamily Sale &amp; Capital Opportunity Engine</x:v>
      </x:c>
      <x:c r="B1" s="112"/>
      <x:c r="C1" s="112"/>
      <x:c r="D1" s="112"/>
      <x:c r="E1" s="112"/>
      <x:c r="F1" s="112"/>
      <x:c r="G1" s="112"/>
      <x:c r="H1" s="112"/>
      <x:c r="I1" s="112"/>
      <x:c r="J1" s="112"/>
      <x:c r="K1" s="112"/>
      <x:c r="L1" s="112"/>
      <x:c r="M1" s="112"/>
      <x:c r="N1" s="112"/>
      <x:c r="O1" s="112"/>
      <x:c r="P1" s="112"/>
      <x:c r="Q1" s="112"/>
      <x:c r="R1" s="112"/>
      <x:c r="S1" s="112"/>
      <x:c r="T1" s="112"/>
      <x:c r="U1" s="112"/>
    </x:row>
    <x:row r="2" ht="30" customHeight="1">
      <x:c r="A2" s="96" t="str">
        <x:v>Run date: August 31, 2026 | Report-only | Targeted public-source sweep | No prospect outreach prepared, queued, scheduled, implied, or sent.</x:v>
      </x:c>
      <x:c r="B2" s="96"/>
      <x:c r="C2" s="96"/>
      <x:c r="D2" s="96"/>
      <x:c r="E2" s="96"/>
      <x:c r="F2" s="96"/>
      <x:c r="G2" s="96"/>
      <x:c r="H2" s="96"/>
      <x:c r="I2" s="96"/>
      <x:c r="J2" s="96"/>
      <x:c r="K2" s="96"/>
      <x:c r="L2" s="96"/>
      <x:c r="M2" s="96"/>
      <x:c r="N2" s="96"/>
      <x:c r="O2" s="96"/>
      <x:c r="P2" s="96"/>
      <x:c r="Q2" s="96"/>
      <x:c r="R2" s="96"/>
      <x:c r="S2" s="96"/>
      <x:c r="T2" s="96"/>
      <x:c r="U2" s="96"/>
    </x:row>
    <x:row r="4">
      <x:c r="A4" s="99" t="str">
        <x:v>Action queue</x:v>
      </x:c>
      <x:c r="B4" s="99" t="str">
        <x:v>Count</x:v>
      </x:c>
      <x:c r="D4" s="99" t="str">
        <x:v>Pipeline</x:v>
      </x:c>
      <x:c r="E4" s="99" t="str">
        <x:v>Count</x:v>
      </x:c>
    </x:row>
    <x:row r="5">
      <x:c r="A5" s="67" t="str">
        <x:v>Priority (85+)</x:v>
      </x:c>
      <x:c r="B5" s="69" t="n">
        <x:v>0</x:v>
      </x:c>
      <x:c r="D5" s="67" t="str">
        <x:v>Watch (65–74)</x:v>
      </x:c>
      <x:c r="E5" s="69" t="n">
        <x:v>11</x:v>
      </x:c>
    </x:row>
    <x:row r="6">
      <x:c r="A6" s="67" t="str">
        <x:v>Qualified (75–84)</x:v>
      </x:c>
      <x:c r="B6" s="69" t="n">
        <x:v>4</x:v>
      </x:c>
      <x:c r="D6" s="67" t="str">
        <x:v>New Watch items</x:v>
      </x:c>
      <x:c r="E6" s="69" t="n">
        <x:v>0</x:v>
      </x:c>
    </x:row>
    <x:row r="7">
      <x:c r="A7" s="67" t="str">
        <x:v>New qualified action leads</x:v>
      </x:c>
      <x:c r="B7" s="69" t="n">
        <x:v>0</x:v>
      </x:c>
      <x:c r="D7" s="67" t="str">
        <x:v>New exclusions</x:v>
      </x:c>
      <x:c r="E7" s="69" t="n">
        <x:v>0</x:v>
      </x:c>
    </x:row>
    <x:row r="9">
      <x:c r="A9" s="100" t="str">
        <x:v>Action Queue — qualified only (75–84); each item clears the $10M gate and has a current, public source.</x:v>
      </x:c>
      <x:c r="B9" s="100"/>
      <x:c r="C9" s="100"/>
      <x:c r="D9" s="100"/>
      <x:c r="E9" s="100"/>
      <x:c r="F9" s="100"/>
      <x:c r="G9" s="100"/>
      <x:c r="H9" s="100"/>
      <x:c r="I9" s="100"/>
      <x:c r="J9" s="100"/>
      <x:c r="K9" s="100"/>
      <x:c r="L9" s="100"/>
      <x:c r="M9" s="100"/>
      <x:c r="N9" s="100"/>
      <x:c r="O9" s="100"/>
      <x:c r="P9" s="100"/>
      <x:c r="Q9" s="100"/>
      <x:c r="R9" s="100"/>
      <x:c r="S9" s="100"/>
      <x:c r="T9" s="100"/>
      <x:c r="U9" s="100"/>
    </x:row>
    <x:row r="10" ht="36" customHeight="1">
      <x:c r="A10" s="104" t="str">
        <x:v>Lead ID</x:v>
      </x:c>
      <x:c r="B10" s="104" t="str">
        <x:v>Asset</x:v>
      </x:c>
      <x:c r="C10" s="104" t="str">
        <x:v>Class</x:v>
      </x:c>
      <x:c r="D10" s="104" t="str">
        <x:v>$10M Gate</x:v>
      </x:c>
      <x:c r="E10" s="104" t="str">
        <x:v>Score</x:v>
      </x:c>
      <x:c r="F10" s="104" t="str">
        <x:v>Run Status</x:v>
      </x:c>
      <x:c r="G10" s="104" t="str">
        <x:v>Address</x:v>
      </x:c>
      <x:c r="H10" s="104" t="str">
        <x:v>MSA</x:v>
      </x:c>
      <x:c r="I10" s="104" t="str">
        <x:v>Units</x:v>
      </x:c>
      <x:c r="J10" s="104" t="str">
        <x:v>Asking / Debt ($)</x:v>
      </x:c>
      <x:c r="K10" s="104" t="str">
        <x:v>Owner / Sponsor / Lender / Broker</x:v>
      </x:c>
      <x:c r="L10" s="104" t="str">
        <x:v>Observed Facts</x:v>
      </x:c>
      <x:c r="M10" s="104" t="str">
        <x:v>Inference</x:v>
      </x:c>
      <x:c r="N10" s="104" t="str">
        <x:v>Counterargument</x:v>
      </x:c>
      <x:c r="O10" s="104" t="str">
        <x:v>Light Tower Angle</x:v>
      </x:c>
      <x:c r="P10" s="104" t="str">
        <x:v>Observed / Listing Date</x:v>
      </x:c>
      <x:c r="Q10" s="104" t="str">
        <x:v>Source Tier</x:v>
      </x:c>
      <x:c r="R10" s="104" t="str">
        <x:v>Current Availability</x:v>
      </x:c>
      <x:c r="S10" s="104" t="str">
        <x:v>Verified Public Contact</x:v>
      </x:c>
      <x:c r="T10" s="104" t="str">
        <x:v>Source URL</x:v>
      </x:c>
      <x:c r="U10" s="104" t="str">
        <x:v>Score detail</x:v>
      </x:c>
    </x:row>
    <x:row r="11" ht="88" customHeight="1">
      <x:c r="A11" s="75" t="str">
        <x:v>CHI-001</x:v>
      </x:c>
      <x:c r="B11" s="75" t="str">
        <x:v>Drexel Terraces</x:v>
      </x:c>
      <x:c r="C11" s="75" t="str">
        <x:v>Capital Event</x:v>
      </x:c>
      <x:c r="D11" s="75" t="str">
        <x:v>$31.0M original CMBS debt; ~$34.9M alleged payoff</x:v>
      </x:c>
      <x:c r="E11" s="77" t="n">
        <x:v>79</x:v>
      </x:c>
      <x:c r="F11" s="75" t="str">
        <x:v>Continuing</x:v>
      </x:c>
      <x:c r="G11" s="75" t="str">
        <x:v>4830–4848 1/2 S. Drexel Blvd.</x:v>
      </x:c>
      <x:c r="H11" s="75" t="str">
        <x:v>Chicago MSA</x:v>
      </x:c>
      <x:c r="I11" s="78" t="n">
        <x:v>116</x:v>
      </x:c>
      <x:c r="J11" s="79" t="n">
        <x:v>31000000</x:v>
      </x:c>
      <x:c r="K11" s="75" t="str">
        <x:v>Lowenstein-controlled borrower; Trimont / LNR Partners servicers; Morgan Stanley originator</x:v>
      </x:c>
      <x:c r="L11" s="75" t="str">
        <x:v>May 19 reporting identifies missed payments, receiver motion, and roughly $35M foreclosure claim; independent reporting identifies the special-servicing transfer tied to payment default.</x:v>
      </x:c>
      <x:c r="M11" s="75" t="str">
        <x:v>Workout may support lender/note dialogue, receiver-transition senior financing, or sponsor recapitalization.</x:v>
      </x:c>
      <x:c r="N11" s="75" t="str">
        <x:v>A cure, modification, or receiver stabilization may defer disposition; no verified public sale mandate.</x:v>
      </x:c>
      <x:c r="O11" s="75" t="str">
        <x:v>Lender dialogue / note-workout capital / receiver-transition senior refinance</x:v>
      </x:c>
      <x:c r="P11" s="75" t="str">
        <x:v>Trigger 2026-05-19; reviewed 2026-08-31</x:v>
      </x:c>
      <x:c r="Q11" s="75" t="str">
        <x:v>Tier 2 x2</x:v>
      </x:c>
      <x:c r="R11" s="75" t="str">
        <x:v>Capital event; public sale process unverified</x:v>
      </x:c>
      <x:c r="S11" s="75" t="str">
        <x:v>Trimont and LNR Partners publicly identified; no individual deal contact</x:v>
      </x:c>
      <x:c r="T11" s="75" t="str">
        <x:v>https://therealdeal.com/chicago/2026/05/19/chicago-cmbs-foreclosure-hits-lowenstein-apartments/ | https://www.multifamilydive.com/news/multifamily-chicago-la-florida-servicing/816371/</x:v>
      </x:c>
      <x:c r="U11" s="75" t="str">
        <x:v>27+20+13+9+8+2 = 79</x:v>
      </x:c>
    </x:row>
    <x:row r="12" ht="88" customHeight="1">
      <x:c r="A12" s="75" t="str">
        <x:v>LA-010</x:v>
      </x:c>
      <x:c r="B12" s="75" t="str">
        <x:v>3675 Dunn Drive</x:v>
      </x:c>
      <x:c r="C12" s="75" t="str">
        <x:v>Active Sale</x:v>
      </x:c>
      <x:c r="D12" s="75" t="str">
        <x:v>$15.95M asking</x:v>
      </x:c>
      <x:c r="E12" s="77" t="n">
        <x:v>79</x:v>
      </x:c>
      <x:c r="F12" s="75" t="str">
        <x:v>Continuing</x:v>
      </x:c>
      <x:c r="G12" s="75" t="str">
        <x:v>3675 Dunn Dr.</x:v>
      </x:c>
      <x:c r="H12" s="75" t="str">
        <x:v>Los Angeles MSA</x:v>
      </x:c>
      <x:c r="I12" s="78" t="n">
        <x:v>18</x:v>
      </x:c>
      <x:c r="J12" s="79" t="n">
        <x:v>15950000</x:v>
      </x:c>
      <x:c r="K12" s="75" t="str">
        <x:v>KW Commercial; Alex Galuz</x:v>
      </x:c>
      <x:c r="L12" s="75" t="str">
        <x:v>Tier 1 listing remains currently available on Aug. 31: 2019 Class A, 18-unit apartment property, stated 100% occupancy and 4.60% cap rate; market date Aug. 3.</x:v>
      </x:c>
      <x:c r="M12" s="75" t="str">
        <x:v>Fresh conventional marketing supports buyer financing, acquisition-sale advisory, or senior refinance/recap.</x:v>
      </x:c>
      <x:c r="N12" s="75" t="str">
        <x:v>Confirm seller authority, rent roll/cap-rate assumptions, and any recorded affordability covenant.</x:v>
      </x:c>
      <x:c r="O12" s="75" t="str">
        <x:v>Buyer financing / acquisition-sale advisory / senior refinance</x:v>
      </x:c>
      <x:c r="P12" s="75" t="str">
        <x:v>Listed 2026-08-03; reviewed 2026-08-31</x:v>
      </x:c>
      <x:c r="Q12" s="75" t="str">
        <x:v>Tier 1</x:v>
      </x:c>
      <x:c r="R12" s="75" t="str">
        <x:v>Currently available</x:v>
      </x:c>
      <x:c r="S12" s="75" t="str">
        <x:v>Alex Galuz, KW Commercial, +1 310-466-0888</x:v>
      </x:c>
      <x:c r="T12" s="75" t="str">
        <x:v>https://www.loopnet.com/Listing/3675-Dunn-Dr-Los-Angeles-CA/41534752/</x:v>
      </x:c>
      <x:c r="U12" s="75" t="str">
        <x:v>35+0+15+9+15+5 = 79</x:v>
      </x:c>
    </x:row>
    <x:row r="13" ht="88" customHeight="1">
      <x:c r="A13" s="75" t="str">
        <x:v>CHI-004</x:v>
      </x:c>
      <x:c r="B13" s="75" t="str">
        <x:v>Washington Plaza</x:v>
      </x:c>
      <x:c r="C13" s="75" t="str">
        <x:v>Active Sale</x:v>
      </x:c>
      <x:c r="D13" s="75" t="str">
        <x:v>$12.0M asking</x:v>
      </x:c>
      <x:c r="E13" s="77" t="n">
        <x:v>78</x:v>
      </x:c>
      <x:c r="F13" s="75" t="str">
        <x:v>Continuing</x:v>
      </x:c>
      <x:c r="G13" s="75" t="str">
        <x:v>5501 W. Washington Blvd.</x:v>
      </x:c>
      <x:c r="H13" s="75" t="str">
        <x:v>Chicago MSA</x:v>
      </x:c>
      <x:c r="I13" s="78" t="n">
        <x:v>172</x:v>
      </x:c>
      <x:c r="J13" s="79" t="n">
        <x:v>12000000</x:v>
      </x:c>
      <x:c r="K13" s="75" t="str">
        <x:v>33 Realty; Brian Mond and George Benitez</x:v>
      </x:c>
      <x:c r="L13" s="75" t="str">
        <x:v>Tier 1 listing remains currently available on Aug. 31: 172 apartments, 98% stated occupancy, R-4 zoning and July 22 market date.</x:v>
      </x:c>
      <x:c r="M13" s="75" t="str">
        <x:v>Live marketing supports buyer financing, acquisition-sale advisory, or value-add refinance/recap.</x:v>
      </x:c>
      <x:c r="N13" s="75" t="str">
        <x:v>Subsidy contracts, deferred maintenance, seller authority, and rent-roll quality remain unverified.</x:v>
      </x:c>
      <x:c r="O13" s="75" t="str">
        <x:v>Buyer financing / acquisition-sale advisory / senior refinance</x:v>
      </x:c>
      <x:c r="P13" s="75" t="str">
        <x:v>Listed 2026-07-22; reviewed 2026-08-31</x:v>
      </x:c>
      <x:c r="Q13" s="75" t="str">
        <x:v>Tier 1</x:v>
      </x:c>
      <x:c r="R13" s="75" t="str">
        <x:v>Currently available</x:v>
      </x:c>
      <x:c r="S13" s="75" t="str">
        <x:v>Brian Mond +1 773-615-2626; George Benitez +1 239-443-0768</x:v>
      </x:c>
      <x:c r="T13" s="75" t="str">
        <x:v>https://www.loopnet.com/Listing/5501-W-Washington-Blvd-Chicago-IL/41395207/</x:v>
      </x:c>
      <x:c r="U13" s="75" t="str">
        <x:v>35+0+14+9+15+5 = 78</x:v>
      </x:c>
    </x:row>
    <x:row r="14" ht="88" customHeight="1">
      <x:c r="A14" s="75" t="str">
        <x:v>PHI-006</x:v>
      </x:c>
      <x:c r="B14" s="75" t="str">
        <x:v>2328–2344 N. 2nd St.</x:v>
      </x:c>
      <x:c r="C14" s="75" t="str">
        <x:v>Active Sale</x:v>
      </x:c>
      <x:c r="D14" s="75" t="str">
        <x:v>$11,999,999 asking</x:v>
      </x:c>
      <x:c r="E14" s="77" t="n">
        <x:v>75</x:v>
      </x:c>
      <x:c r="F14" s="75" t="str">
        <x:v>Continuing</x:v>
      </x:c>
      <x:c r="G14" s="75" t="str">
        <x:v>2328–2344 N. 2nd St.</x:v>
      </x:c>
      <x:c r="H14" s="75" t="str">
        <x:v>Philadelphia MSA</x:v>
      </x:c>
      <x:c r="I14" s="78" t="n">
        <x:v>33</x:v>
      </x:c>
      <x:c r="J14" s="79" t="n">
        <x:v>11999999</x:v>
      </x:c>
      <x:c r="K14" s="75" t="str">
        <x:v>McCann Commercial; Jon O'Shea</x:v>
      </x:c>
      <x:c r="L14" s="75" t="str">
        <x:v>Tier 1 listing remains currently available Aug. 31: 33 apartments, 3,750 SF ground-floor commercial, four adjacent residential parcels, 85% stated occupancy, and 17 units under a corporate master lease through July 2027.</x:v>
      </x:c>
      <x:c r="M14" s="75" t="str">
        <x:v>Live marketing and lease rollover support buyer financing, lease-transition bridge, or recapitalization.</x:v>
      </x:c>
      <x:c r="N14" s="75" t="str">
        <x:v>Retail income, parcel inclusion, master-lease assignability, and conventional/non-student leasing require underwriting; listing age reduces recency score.</x:v>
      </x:c>
      <x:c r="O14" s="75" t="str">
        <x:v>Buyer financing / lease-transition bridge / acquisition-sale advisory</x:v>
      </x:c>
      <x:c r="P14" s="75" t="str">
        <x:v>Listed 2026-06-22; reviewed 2026-08-31</x:v>
      </x:c>
      <x:c r="Q14" s="75" t="str">
        <x:v>Tier 1</x:v>
      </x:c>
      <x:c r="R14" s="75" t="str">
        <x:v>Currently available</x:v>
      </x:c>
      <x:c r="S14" s="75" t="str">
        <x:v>Jon O'Shea, McCann Commercial, +1 267-780-3419</x:v>
      </x:c>
      <x:c r="T14" s="75" t="str">
        <x:v>https://www.loopnet.com/Listing/2328-2344-N-2nd-St-Philadelphia-PA/41009347/</x:v>
      </x:c>
      <x:c r="U14" s="75" t="str">
        <x:v>35+4+10+8+13+5 = 75</x:v>
      </x:c>
    </x:row>
    <x:row r="16">
      <x:c r="A16" s="106" t="str">
        <x:v>Watch (65–74) — verification required before promotion</x:v>
      </x:c>
      <x:c r="B16" s="106"/>
      <x:c r="C16" s="106"/>
      <x:c r="D16" s="106"/>
      <x:c r="E16" s="106"/>
      <x:c r="F16" s="106"/>
    </x:row>
    <x:row r="17">
      <x:c r="A17" s="107" t="str">
        <x:v>Lead ID</x:v>
      </x:c>
      <x:c r="B17" s="107" t="str">
        <x:v>Class / Score</x:v>
      </x:c>
      <x:c r="C17" s="107" t="str">
        <x:v>$10M Gate / Asset</x:v>
      </x:c>
      <x:c r="D17" s="107" t="str">
        <x:v>Observed Facts</x:v>
      </x:c>
      <x:c r="E17" s="107" t="str">
        <x:v>Exact next verification step</x:v>
      </x:c>
      <x:c r="F17" s="107" t="str">
        <x:v>Source / Date</x:v>
      </x:c>
    </x:row>
    <x:row r="18" ht="58" customHeight="1">
      <x:c r="A18" s="75" t="str">
        <x:v>FL-007</x:v>
      </x:c>
      <x:c r="B18" s="75" t="str">
        <x:v>Active Sale / 72</x:v>
      </x:c>
      <x:c r="C18" s="75" t="str">
        <x:v>650 SW 1st St, Miami — ~$10.90M implied by $519,048/unit × 21 units</x:v>
      </x:c>
      <x:c r="D18" s="75" t="str">
        <x:v>Tier 1 listing is currently available Aug. 31, calls the asset 21-unit multifamily and provides an Aug. 15 market date, but gives price only per unit and no individual sale contact.</x:v>
      </x:c>
      <x:c r="E18" s="75" t="str">
        <x:v>Obtain signed sale mandate / explicit total ask, current rent roll, confirmation of no material retail or restriction, and named broker contact.</x:v>
      </x:c>
      <x:c r="F18" s="75" t="str">
        <x:v>https://www.loopnet.com/Listing/650-SW-1st-St-Miami-FL/41764910/ | listed 2026-08-15; reviewed 2026-08-31</x:v>
      </x:c>
    </x:row>
    <x:row r="19" ht="58" customHeight="1">
      <x:c r="A19" s="75" t="str">
        <x:v>FL-008</x:v>
      </x:c>
      <x:c r="B19" s="75" t="str">
        <x:v>Active Sale / 68</x:v>
      </x:c>
      <x:c r="C19" s="75" t="str">
        <x:v>300 Majorca Ave, Coral Gables — $12.75M asking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2026-08-31</x:v>
      </x:c>
    </x:row>
    <x:row r="20" ht="58"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2026-08-31</x:v>
      </x:c>
    </x:row>
    <x:row r="21" ht="58"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58"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2026-08-31</x:v>
      </x:c>
    </x:row>
    <x:row r="23" ht="58"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2026-08-31</x:v>
      </x:c>
    </x:row>
    <x:row r="24" ht="58"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2026-08-31</x:v>
      </x:c>
    </x:row>
    <x:row r="25" ht="58"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2026-08-31</x:v>
      </x:c>
    </x:row>
    <x:row r="26" ht="58"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2026-08-31</x:v>
      </x:c>
    </x:row>
    <x:row r="27" ht="58"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2026-08-31</x:v>
      </x:c>
    </x:row>
    <x:row r="28" ht="58"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2026-08-31</x:v>
      </x:c>
    </x:row>
    <x:row r="30">
      <x:c r="A30" s="109" t="str">
        <x:v>Exclusions, controls, and coverage gaps</x:v>
      </x:c>
      <x:c r="B30" s="109"/>
      <x:c r="C30" s="109"/>
      <x:c r="D30" s="109"/>
      <x:c r="E30" s="109"/>
      <x:c r="F30" s="109"/>
      <x:c r="G30" s="109"/>
      <x:c r="H30" s="109"/>
      <x:c r="I30" s="109"/>
      <x:c r="J30" s="109"/>
      <x:c r="K30" s="109"/>
      <x:c r="L30" s="109"/>
      <x:c r="M30" s="109"/>
      <x:c r="N30" s="109"/>
      <x:c r="O30" s="109"/>
      <x:c r="P30" s="109"/>
      <x:c r="Q30" s="109"/>
      <x:c r="R30" s="109"/>
      <x:c r="S30" s="109"/>
      <x:c r="T30" s="109"/>
      <x:c r="U30" s="109"/>
    </x:row>
    <x:row r="31">
      <x:c r="A31" s="111" t="str">
        <x:v>Item</x:v>
      </x:c>
      <x:c r="B31" s="111" t="str">
        <x:v>Classification / reason</x:v>
      </x:c>
      <x:c r="C31" s="111" t="str">
        <x:v>Evidence and action</x:v>
      </x:c>
      <x:c r="D31" s="111"/>
      <x:c r="E31" s="111"/>
      <x:c r="F31" s="111"/>
      <x:c r="G31" s="111"/>
      <x:c r="H31" s="111"/>
      <x:c r="I31" s="111"/>
      <x:c r="J31" s="111"/>
      <x:c r="K31" s="111"/>
      <x:c r="L31" s="111"/>
      <x:c r="M31" s="111"/>
      <x:c r="N31" s="111"/>
      <x:c r="O31" s="111"/>
      <x:c r="P31" s="111"/>
      <x:c r="Q31" s="111"/>
      <x:c r="R31" s="111"/>
      <x:c r="S31" s="111"/>
      <x:c r="T31" s="111"/>
      <x:c r="U31" s="111"/>
    </x:row>
    <x:row r="32" ht="60" customHeight="1">
      <x:c r="A32" s="75" t="str">
        <x:v>Allapattah 23 — 2311–2325 NW 22nd Ave, Miami</x:v>
      </x:c>
      <x:c r="B32" s="75" t="str">
        <x:v>Excluded — current price below $10M gate; product record includes Multifamily Dormitory subtype</x:v>
      </x:c>
      <x:c r="C32" s="75" t="str">
        <x:v>Direct current listing shows $9.5M / 23 units. Do not promote without verified $10M+ revised ask and conventional-only product confirmation. https://www.loopnet.com/Listing/2311-2325-NW-22nd-Ave-Miami-FL/41046654/</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Prior Philadelphia student/rent-by-bed candidates</x:v>
      </x:c>
      <x:c r="B35" s="75" t="str">
        <x:v>Excluded — product mismatch</x:v>
      </x:c>
      <x:c r="C35" s="75" t="str">
        <x:v>Do not promote without a conventional lease-structure confirmation.</x:v>
      </x:c>
      <x:c r="D35" s="75"/>
      <x:c r="E35" s="75"/>
      <x:c r="F35" s="75"/>
      <x:c r="G35" s="75"/>
      <x:c r="H35" s="75"/>
      <x:c r="I35" s="75"/>
      <x:c r="J35" s="75"/>
      <x:c r="K35" s="75"/>
      <x:c r="L35" s="75"/>
      <x:c r="M35" s="75"/>
      <x:c r="N35" s="75"/>
      <x:c r="O35" s="75"/>
      <x:c r="P35" s="75"/>
      <x:c r="Q35" s="75"/>
      <x:c r="R35" s="75"/>
      <x:c r="S35" s="75"/>
      <x:c r="T35" s="75"/>
      <x:c r="U35" s="75"/>
    </x:row>
    <x:row r="36" ht="60" customHeight="1">
      <x:c r="A36" s="75" t="str">
        <x:v>Kenmore East — Chicago</x:v>
      </x:c>
      <x:c r="B36" s="75" t="str">
        <x:v>Excluded — current availability unverified</x:v>
      </x:c>
      <x:c r="C36" s="75" t="str">
        <x:v>Direct listing no longer advertised; require renewed current marketing evidence.</x:v>
      </x:c>
      <x:c r="D36" s="75"/>
      <x:c r="E36" s="75"/>
      <x:c r="F36" s="75"/>
      <x:c r="G36" s="75"/>
      <x:c r="H36" s="75"/>
      <x:c r="I36" s="75"/>
      <x:c r="J36" s="75"/>
      <x:c r="K36" s="75"/>
      <x:c r="L36" s="75"/>
      <x:c r="M36" s="75"/>
      <x:c r="N36" s="75"/>
      <x:c r="O36" s="75"/>
      <x:c r="P36" s="75"/>
      <x:c r="Q36" s="75"/>
      <x:c r="R36" s="75"/>
      <x:c r="S36" s="75"/>
      <x:c r="T36" s="75"/>
      <x:c r="U36" s="75"/>
    </x:row>
    <x:row r="37" ht="60" customHeight="1">
      <x:c r="A37" s="75" t="str">
        <x:v>Coverage limitation</x:v>
      </x:c>
      <x:c r="B37" s="75" t="str">
        <x:v>Gap</x:v>
      </x:c>
      <x:c r="C37" s="75" t="str">
        <x:v>Targeted public-source sweep only, not universal listing coverage of an MSA, Florida, or North Carolina. No new qualified lead was verified in NYC, named North Carolina MSAs, Orlando, Jacksonville, Fort Myers, Naples, Sarasota, Palm Bay, Lakeland, or Daytona Beach.</x:v>
      </x:c>
      <x:c r="D37" s="75"/>
      <x:c r="E37" s="75"/>
      <x:c r="F37" s="75"/>
      <x:c r="G37" s="75"/>
      <x:c r="H37" s="75"/>
      <x:c r="I37" s="75"/>
      <x:c r="J37" s="75"/>
      <x:c r="K37" s="75"/>
      <x:c r="L37" s="75"/>
      <x:c r="M37" s="75"/>
      <x:c r="N37" s="75"/>
      <x:c r="O37" s="75"/>
      <x:c r="P37" s="75"/>
      <x:c r="Q37" s="75"/>
      <x:c r="R37" s="75"/>
      <x:c r="S37" s="75"/>
      <x:c r="T37" s="75"/>
      <x:c r="U37" s="75"/>
    </x:row>
    <x:row r="38" ht="60" customHeight="1">
      <x:c r="A38" s="75" t="str">
        <x:v>Delivery / outreach control</x:v>
      </x:c>
      <x:c r="B38" s="75" t="str">
        <x:v>Constraint</x:v>
      </x:c>
      <x:c r="C38" s="75" t="str">
        <x:v>No connected Google Sheets session or authenticated email connector was available. This fallback workbook was produced; historical $20M tabs were not touched. No prospect outreach was sent or implied; named lead IDs require explicit per-run approval.</x:v>
      </x:c>
      <x:c r="D38" s="75"/>
      <x:c r="E38" s="75"/>
      <x:c r="F38" s="75"/>
      <x:c r="G38" s="75"/>
      <x:c r="H38" s="75"/>
      <x:c r="I38" s="75"/>
      <x:c r="J38" s="75"/>
      <x:c r="K38" s="75"/>
      <x:c r="L38" s="75"/>
      <x:c r="M38" s="75"/>
      <x:c r="N38" s="75"/>
      <x:c r="O38" s="75"/>
      <x:c r="P38" s="75"/>
      <x:c r="Q38" s="75"/>
      <x:c r="R38" s="75"/>
      <x:c r="S38" s="75"/>
      <x:c r="T38" s="75"/>
      <x:c r="U38" s="75"/>
    </x:row>
  </x:sheetData>
  <x:mergeCells>
    <x:mergeCell ref="A1:U1"/>
    <x:mergeCell ref="A2:U2"/>
    <x:mergeCell ref="A9:U9"/>
    <x:mergeCell ref="A16:F16"/>
    <x:mergeCell ref="A30:U30"/>
    <x:mergeCell ref="C31:U31"/>
    <x:mergeCell ref="C32:U32"/>
    <x:mergeCell ref="C33:U33"/>
    <x:mergeCell ref="C34:U34"/>
    <x:mergeCell ref="C35:U35"/>
    <x:mergeCell ref="C36:U36"/>
    <x:mergeCell ref="C37:U37"/>
    <x:mergeCell ref="C38:U3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14" hidden="0" customWidth="1"/>
    <x:col min="4" max="4" width="22" hidden="0" customWidth="1"/>
    <x:col min="5" max="5" width="8" hidden="0" customWidth="1"/>
    <x:col min="6" max="6" width="13" hidden="0" customWidth="1"/>
    <x:col min="7" max="7" width="24" hidden="0" customWidth="1"/>
    <x:col min="8" max="8" width="18" hidden="0" customWidth="1"/>
    <x:col min="9" max="9" width="8" hidden="0" customWidth="1"/>
    <x:col min="10" max="10" width="15" hidden="0" customWidth="1"/>
    <x:col min="11" max="11" width="30" hidden="0" customWidth="1"/>
    <x:col min="12" max="12" width="42" hidden="0" customWidth="1"/>
    <x:col min="13" max="13" width="34" hidden="0" customWidth="1"/>
    <x:col min="14" max="14" width="34" hidden="0" customWidth="1"/>
    <x:col min="15" max="15" width="34" hidden="0" customWidth="1"/>
    <x:col min="16" max="16" width="20" hidden="0" customWidth="1"/>
    <x:col min="17" max="17" width="12" hidden="0" customWidth="1"/>
    <x:col min="18" max="18" width="20" hidden="0" customWidth="1"/>
    <x:col min="19" max="19" width="30" hidden="0" customWidth="1"/>
    <x:col min="20" max="20" width="52" hidden="0" customWidth="1"/>
    <x:col min="21" max="21" width="25" hidden="0" customWidth="1"/>
  </x:cols>
  <x:sheetData>
    <x:row r="1" ht="28" customHeight="1">
      <x:c r="A1" s="136" t="str">
        <x:v>Light Tower Group — Daily $10M+ Multifamily Sale &amp; Capital Opportunity Engine</x:v>
      </x:c>
      <x:c r="B1" s="136"/>
      <x:c r="C1" s="136"/>
      <x:c r="D1" s="136"/>
      <x:c r="E1" s="136"/>
      <x:c r="F1" s="136"/>
      <x:c r="G1" s="136"/>
      <x:c r="H1" s="136"/>
      <x:c r="I1" s="136"/>
      <x:c r="J1" s="136"/>
      <x:c r="K1" s="136"/>
      <x:c r="L1" s="136"/>
      <x:c r="M1" s="136"/>
      <x:c r="N1" s="136"/>
      <x:c r="O1" s="136"/>
      <x:c r="P1" s="136"/>
      <x:c r="Q1" s="136"/>
      <x:c r="R1" s="136"/>
      <x:c r="S1" s="136"/>
      <x:c r="T1" s="136"/>
      <x:c r="U1" s="136"/>
    </x:row>
    <x:row r="2" ht="30" customHeight="1">
      <x:c r="A2" s="120" t="str">
        <x:v>Run date: September 1, 2026 | Report-only | Targeted public-source sweep | No prospect outreach prepared, queued, scheduled, implied, or sent.</x:v>
      </x:c>
      <x:c r="B2" s="120"/>
      <x:c r="C2" s="120"/>
      <x:c r="D2" s="120"/>
      <x:c r="E2" s="120"/>
      <x:c r="F2" s="120"/>
      <x:c r="G2" s="120"/>
      <x:c r="H2" s="120"/>
      <x:c r="I2" s="120"/>
      <x:c r="J2" s="120"/>
      <x:c r="K2" s="120"/>
      <x:c r="L2" s="120"/>
      <x:c r="M2" s="120"/>
      <x:c r="N2" s="120"/>
      <x:c r="O2" s="120"/>
      <x:c r="P2" s="120"/>
      <x:c r="Q2" s="120"/>
      <x:c r="R2" s="120"/>
      <x:c r="S2" s="120"/>
      <x:c r="T2" s="120"/>
      <x:c r="U2" s="120"/>
    </x:row>
    <x:row r="4">
      <x:c r="A4" s="123" t="str">
        <x:v>Action queue</x:v>
      </x:c>
      <x:c r="B4" s="123" t="str">
        <x:v>Count</x:v>
      </x:c>
      <x:c r="D4" s="123" t="str">
        <x:v>Pipeline</x:v>
      </x:c>
      <x:c r="E4" s="123" t="str">
        <x:v>Count</x:v>
      </x:c>
    </x:row>
    <x:row r="5">
      <x:c r="A5" s="67" t="str">
        <x:v>Priority (85+)</x:v>
      </x:c>
      <x:c r="B5" s="69" t="n">
        <x:v>0</x:v>
      </x:c>
      <x:c r="D5" s="67" t="str">
        <x:v>Watch (65–74)</x:v>
      </x:c>
      <x:c r="E5" s="69" t="n">
        <x:v>12</x:v>
      </x:c>
    </x:row>
    <x:row r="6">
      <x:c r="A6" s="67" t="str">
        <x:v>Qualified (75–84)</x:v>
      </x:c>
      <x:c r="B6" s="69" t="n">
        <x:v>3</x:v>
      </x:c>
      <x:c r="D6" s="67" t="str">
        <x:v>New Watch items</x:v>
      </x:c>
      <x:c r="E6" s="69" t="n">
        <x:v>0</x:v>
      </x:c>
    </x:row>
    <x:row r="7">
      <x:c r="A7" s="67" t="str">
        <x:v>New qualified action leads</x:v>
      </x:c>
      <x:c r="B7" s="69" t="n">
        <x:v>0</x:v>
      </x:c>
      <x:c r="D7" s="67" t="str">
        <x:v>New exclusions</x:v>
      </x:c>
      <x:c r="E7" s="69" t="n">
        <x:v>1</x:v>
      </x:c>
    </x:row>
    <x:row r="9">
      <x:c r="A9" s="124" t="str">
        <x:v>Action Queue — qualified only (75–84); each item clears the $10M gate and has a current, public source.</x:v>
      </x:c>
      <x:c r="B9" s="124"/>
      <x:c r="C9" s="124"/>
      <x:c r="D9" s="124"/>
      <x:c r="E9" s="124"/>
      <x:c r="F9" s="124"/>
      <x:c r="G9" s="124"/>
      <x:c r="H9" s="124"/>
      <x:c r="I9" s="124"/>
      <x:c r="J9" s="124"/>
      <x:c r="K9" s="124"/>
      <x:c r="L9" s="124"/>
      <x:c r="M9" s="124"/>
      <x:c r="N9" s="124"/>
      <x:c r="O9" s="124"/>
      <x:c r="P9" s="124"/>
      <x:c r="Q9" s="124"/>
      <x:c r="R9" s="124"/>
      <x:c r="S9" s="124"/>
      <x:c r="T9" s="124"/>
      <x:c r="U9" s="124"/>
    </x:row>
    <x:row r="10" ht="36" customHeight="1">
      <x:c r="A10" s="128" t="str">
        <x:v>Lead ID</x:v>
      </x:c>
      <x:c r="B10" s="128" t="str">
        <x:v>Asset</x:v>
      </x:c>
      <x:c r="C10" s="128" t="str">
        <x:v>Class</x:v>
      </x:c>
      <x:c r="D10" s="128" t="str">
        <x:v>$10M Gate</x:v>
      </x:c>
      <x:c r="E10" s="128" t="str">
        <x:v>Score</x:v>
      </x:c>
      <x:c r="F10" s="128" t="str">
        <x:v>Run Status</x:v>
      </x:c>
      <x:c r="G10" s="128" t="str">
        <x:v>Address</x:v>
      </x:c>
      <x:c r="H10" s="128" t="str">
        <x:v>MSA</x:v>
      </x:c>
      <x:c r="I10" s="128" t="str">
        <x:v>Units</x:v>
      </x:c>
      <x:c r="J10" s="128" t="str">
        <x:v>Asking / Debt ($)</x:v>
      </x:c>
      <x:c r="K10" s="128" t="str">
        <x:v>Owner / Sponsor / Lender / Broker</x:v>
      </x:c>
      <x:c r="L10" s="128" t="str">
        <x:v>Observed Facts</x:v>
      </x:c>
      <x:c r="M10" s="128" t="str">
        <x:v>Inference</x:v>
      </x:c>
      <x:c r="N10" s="128" t="str">
        <x:v>Counterargument</x:v>
      </x:c>
      <x:c r="O10" s="128" t="str">
        <x:v>Light Tower Angle</x:v>
      </x:c>
      <x:c r="P10" s="128" t="str">
        <x:v>Observed / Listing Date</x:v>
      </x:c>
      <x:c r="Q10" s="128" t="str">
        <x:v>Source Tier</x:v>
      </x:c>
      <x:c r="R10" s="128" t="str">
        <x:v>Current Availability</x:v>
      </x:c>
      <x:c r="S10" s="128" t="str">
        <x:v>Verified Public Contact</x:v>
      </x:c>
      <x:c r="T10" s="128" t="str">
        <x:v>Source URL</x:v>
      </x:c>
      <x:c r="U10" s="128" t="str">
        <x:v>Score detail</x:v>
      </x:c>
    </x:row>
    <x:row r="11" ht="92"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remains currently available Sept. 1: 2019 Class A, 18-unit apartment property, stated 100% occupancy and 4.60% cap rate; market date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2026-09-01</x:v>
      </x:c>
      <x:c r="Q11" s="75" t="str">
        <x:v>Tier 1</x:v>
      </x:c>
      <x:c r="R11" s="75" t="str">
        <x:v>Currently available</x:v>
      </x:c>
      <x:c r="S11" s="75" t="str">
        <x:v>Alex Galuz, KW Commercial, +1 310-466-0888</x:v>
      </x:c>
      <x:c r="T11" s="75" t="str">
        <x:v>https://www.loopnet.com/Listing/3675-Dunn-Dr-Los-Angeles-CA/41534752/</x:v>
      </x:c>
      <x:c r="U11" s="75" t="str">
        <x:v>35+0+15+9+15+5 = 79</x:v>
      </x:c>
    </x:row>
    <x:row r="12" ht="92"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remains currently available Sept. 1: 172 apartments, 98% stated occupancy, R-4 zoning and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2026-09-01</x:v>
      </x:c>
      <x:c r="Q12" s="75" t="str">
        <x:v>Tier 1</x:v>
      </x:c>
      <x:c r="R12" s="75" t="str">
        <x:v>Currently available</x:v>
      </x:c>
      <x:c r="S12" s="75" t="str">
        <x:v>Brian Mond +1 773-615-2626; George Benitez +1 239-443-0768</x:v>
      </x:c>
      <x:c r="T12" s="75" t="str">
        <x:v>https://www.loopnet.com/Listing/5501-W-Washington-Blvd-Chicago-IL/41395207/</x:v>
      </x:c>
      <x:c r="U12" s="75" t="str">
        <x:v>35+0+14+9+15+5 = 78</x:v>
      </x:c>
    </x:row>
    <x:row r="13" ht="92" customHeight="1">
      <x:c r="A13" s="75" t="str">
        <x:v>PHI-006</x:v>
      </x:c>
      <x:c r="B13" s="75" t="str">
        <x:v>2328–2344 N. 2nd St.</x:v>
      </x:c>
      <x:c r="C13" s="75" t="str">
        <x:v>Active Sale</x:v>
      </x:c>
      <x:c r="D13" s="75" t="str">
        <x:v>$11,999,999 asking</x:v>
      </x:c>
      <x:c r="E13" s="77" t="n">
        <x:v>75</x:v>
      </x:c>
      <x:c r="F13" s="75" t="str">
        <x:v>Continuing</x:v>
      </x:c>
      <x:c r="G13" s="75" t="str">
        <x:v>2328–2344 N. 2nd St.</x:v>
      </x:c>
      <x:c r="H13" s="75" t="str">
        <x:v>Philadelphia MSA</x:v>
      </x:c>
      <x:c r="I13" s="78" t="n">
        <x:v>33</x:v>
      </x:c>
      <x:c r="J13" s="79" t="n">
        <x:v>11999999</x:v>
      </x:c>
      <x:c r="K13" s="75" t="str">
        <x:v>McCann Commercial; Jon O'Shea</x:v>
      </x:c>
      <x:c r="L13" s="75" t="str">
        <x:v>Tier 1 listing remains currently available Sept. 1: 33 apartments, 3,750 SF ground-floor commercial, four adjacent residential parcels; 17 residential units under master lease through July 2027 and 88% residential occupancy.</x:v>
      </x:c>
      <x:c r="M13" s="75" t="str">
        <x:v>Live marketing and lease rollover support buyer financing, lease-transition bridge, or recapitalization.</x:v>
      </x:c>
      <x:c r="N13" s="75" t="str">
        <x:v>Retail income, parcel inclusion, master-lease assignability, and conventional/non-student leasing require underwriting.</x:v>
      </x:c>
      <x:c r="O13" s="75" t="str">
        <x:v>Buyer financing / lease-transition bridge / acquisition-sale advisory</x:v>
      </x:c>
      <x:c r="P13" s="75" t="str">
        <x:v>Listed 2026-06-22; reviewed 2026-09-01</x:v>
      </x:c>
      <x:c r="Q13" s="75" t="str">
        <x:v>Tier 1</x:v>
      </x:c>
      <x:c r="R13" s="75" t="str">
        <x:v>Currently available</x:v>
      </x:c>
      <x:c r="S13" s="75" t="str">
        <x:v>Jon O'Shea, McCann Commercial, +1 267-780-3419</x:v>
      </x:c>
      <x:c r="T13" s="75" t="str">
        <x:v>https://www.loopnet.com/Listing/2328-2344-N-2nd-St-Philadelphia-PA/41009347/</x:v>
      </x:c>
      <x:c r="U13" s="75" t="str">
        <x:v>35+4+10+8+13+5 = 75</x:v>
      </x:c>
    </x:row>
    <x:row r="15">
      <x:c r="A15" s="130" t="str">
        <x:v>Watch (65–74) — verification required before promotion</x:v>
      </x:c>
      <x:c r="B15" s="130"/>
      <x:c r="C15" s="130"/>
      <x:c r="D15" s="130"/>
      <x:c r="E15" s="130"/>
      <x:c r="F15" s="130"/>
    </x:row>
    <x:row r="16">
      <x:c r="A16" s="131" t="str">
        <x:v>Lead ID</x:v>
      </x:c>
      <x:c r="B16" s="131" t="str">
        <x:v>Class / Score</x:v>
      </x:c>
      <x:c r="C16" s="131" t="str">
        <x:v>$10M Gate / Asset</x:v>
      </x:c>
      <x:c r="D16" s="131" t="str">
        <x:v>Observed Facts</x:v>
      </x:c>
      <x:c r="E16" s="131" t="str">
        <x:v>Exact next verification step</x:v>
      </x:c>
      <x:c r="F16" s="131" t="str">
        <x:v>Source / Date</x:v>
      </x:c>
    </x:row>
    <x:row r="17" ht="62" customHeight="1">
      <x:c r="A17" s="75" t="str">
        <x:v>CHI-001</x:v>
      </x:c>
      <x:c r="B17" s="75" t="str">
        <x:v>Capital Event / 74</x:v>
      </x:c>
      <x:c r="C17" s="75" t="str">
        <x:v>Drexel Terraces, Chicago — $31.0M original CMBS debt; 116 units</x:v>
      </x:c>
      <x:c r="D17" s="75" t="str">
        <x:v>May 19 Tier 2 reporting names payment default, receiver motion and roughly $35M foreclosure claim. The previously surfaced process trigger is now stale; no current primary docket or sale process is verified.</x:v>
      </x:c>
      <x:c r="E17" s="75" t="str">
        <x:v>Pull current Cook County docket/receiver order and verify servicer, borrower, balance, and sale/workout timetable.</x:v>
      </x:c>
      <x:c r="F17" s="75" t="str">
        <x:v>https://therealdeal.com/chicago/2026/05/19/chicago-cmbs-foreclosure-hits-lowenstein-apartments/ | 2026-05-19</x:v>
      </x:c>
    </x:row>
    <x:row r="18" ht="62" customHeight="1">
      <x:c r="A18" s="75" t="str">
        <x:v>FL-007</x:v>
      </x:c>
      <x:c r="B18" s="75" t="str">
        <x:v>Active Sale / 70</x:v>
      </x:c>
      <x:c r="C18" s="75" t="str">
        <x:v>650 SW 1st St, Miami — no explicit total ask</x:v>
      </x:c>
      <x:c r="D18" s="75" t="str">
        <x:v>Tier 1 listing is available; header says 21 units, while text specifies 21 residential units plus one 450-SF retail suite. It gives $519,048 per residential unit, but no explicit total ask or individual sale contact.</x:v>
      </x:c>
      <x:c r="E18" s="75" t="str">
        <x:v>Obtain signed mandate / explicit total ask, rent roll, retail-income share, restriction confirmation, and named broker contact.</x:v>
      </x:c>
      <x:c r="F18" s="75" t="str">
        <x:v>https://www.loopnet.com/Listing/650-SW-1st-St-Miami-FL/41764910/ | listed 2026-08-15; reviewed 2026-09-01</x:v>
      </x:c>
    </x:row>
    <x:row r="19" ht="62" customHeight="1">
      <x:c r="A19" s="75" t="str">
        <x:v>FL-008</x:v>
      </x:c>
      <x:c r="B19" s="75" t="str">
        <x:v>Active Sale / 68</x:v>
      </x:c>
      <x:c r="C19" s="75" t="str">
        <x:v>300 Majorca Ave, Coral Gables — $12.75M / 17 apartments</x:v>
      </x:c>
      <x:c r="D19" s="75" t="str">
        <x:v>Public broker listing identifies a 17-unit rental building, but visible record has no current market date; originally built as condos.</x:v>
      </x:c>
      <x:c r="E19" s="75" t="str">
        <x:v>Obtain current Marcus &amp; Millichap mandate, listing date, rental-vs-condo status, and rent-regulation/covenant confirmation.</x:v>
      </x:c>
      <x:c r="F19" s="75" t="str">
        <x:v>https://www.showcase.com/300-majorca-ave-coral-gables-fl-33134/31157564/ | reviewed 2026-09-01</x:v>
      </x:c>
    </x:row>
    <x:row r="20" ht="62" customHeight="1">
      <x:c r="A20" s="75" t="str">
        <x:v>CHI-003</x:v>
      </x:c>
      <x:c r="B20" s="75" t="str">
        <x:v>Capital Event / 74</x:v>
      </x:c>
      <x:c r="C20" s="75" t="str">
        <x:v>4520–26 S. Drexel Blvd., Chicago</x:v>
      </x:c>
      <x:c r="D20" s="75" t="str">
        <x:v>Secondary foreclosure reporting remains insufficient as primary process evidence.</x:v>
      </x:c>
      <x:c r="E20" s="75" t="str">
        <x:v>Obtain Cook County primary docket and receiver order; verify servicer and sale timetable.</x:v>
      </x:c>
      <x:c r="F20" s="75" t="str">
        <x:v>Prior public reporting; review 2026-09-01</x:v>
      </x:c>
    </x:row>
    <x:row r="21" ht="62" customHeight="1">
      <x:c r="A21" s="75" t="str">
        <x:v>FL-006</x:v>
      </x:c>
      <x:c r="B21" s="75" t="str">
        <x:v>Capital Event / 71</x:v>
      </x:c>
      <x:c r="C21" s="75" t="str">
        <x:v>The Genesis Clearwater — 372 units</x:v>
      </x:c>
      <x:c r="D21" s="75" t="str">
        <x:v>Aug. 11 reporting identifies foreclosure, without verified complaint, debt balance, lender/borrower linkage, or restrictions.</x:v>
      </x:c>
      <x:c r="E21" s="75" t="str">
        <x:v>Pull Pinellas complaint, mortgage/assignment, balance, lender/borrower linkage, restriction evidence, and current deal contact.</x:v>
      </x:c>
      <x:c r="F21" s="75" t="str">
        <x:v>https://www.bizjournals.com/tampabay/news/2026/08/11/genesis-clearwater-apartment-foreclosure.html | 2026-08-11</x:v>
      </x:c>
    </x:row>
    <x:row r="22" ht="62" customHeight="1">
      <x:c r="A22" s="75" t="str">
        <x:v>FL-005</x:v>
      </x:c>
      <x:c r="B22" s="75" t="str">
        <x:v>Capital Event / 69</x:v>
      </x:c>
      <x:c r="C22" s="75" t="str">
        <x:v>The Wave Apartments, Tampa — $26M mortgage</x:v>
      </x:c>
      <x:c r="D22" s="75" t="str">
        <x:v>Tier 2 July reporting describes a mortgage default; primary foreclosure record is not in file.</x:v>
      </x:c>
      <x:c r="E22" s="75" t="str">
        <x:v>Pull Hillsborough complaint, mortgage/assignment, lender/borrower linkage, and restriction evidence.</x:v>
      </x:c>
      <x:c r="F22" s="75" t="str">
        <x:v>Prior public reporting; review 2026-09-01</x:v>
      </x:c>
    </x:row>
    <x:row r="23" ht="62" customHeight="1">
      <x:c r="A23" s="75" t="str">
        <x:v>LA-008</x:v>
      </x:c>
      <x:c r="B23" s="75" t="str">
        <x:v>Active Sale / 71</x:v>
      </x:c>
      <x:c r="C23" s="75" t="str">
        <x:v>The Cooper Hollywood — $18.195M / 75 units</x:v>
      </x:c>
      <x:c r="D23" s="75" t="str">
        <x:v>Current listing found; RSO status remains unverified.</x:v>
      </x:c>
      <x:c r="E23" s="75" t="str">
        <x:v>Obtain HCIDLA RSO determination and OM rent-regulation disclosure.</x:v>
      </x:c>
      <x:c r="F23" s="75" t="str">
        <x:v>Prior direct listing; review 2026-09-01</x:v>
      </x:c>
    </x:row>
    <x:row r="24" ht="62" customHeight="1">
      <x:c r="A24" s="75" t="str">
        <x:v>LA-009</x:v>
      </x:c>
      <x:c r="B24" s="75" t="str">
        <x:v>Active Sale / 72</x:v>
      </x:c>
      <x:c r="C24" s="75" t="str">
        <x:v>1400 Venice Blvd. — $12.95M / 31 units</x:v>
      </x:c>
      <x:c r="D24" s="75" t="str">
        <x:v>Current offering still lacks a recorded dated exclusive / MLS entry.</x:v>
      </x:c>
      <x:c r="E24" s="75" t="str">
        <x:v>Obtain dated exclusive or MLS, current availability, and OM.</x:v>
      </x:c>
      <x:c r="F24" s="75" t="str">
        <x:v>Prior public listing; review 2026-09-01</x:v>
      </x:c>
    </x:row>
    <x:row r="25" ht="62" customHeight="1">
      <x:c r="A25" s="75" t="str">
        <x:v>LA-003</x:v>
      </x:c>
      <x:c r="B25" s="75" t="str">
        <x:v>Active Sale / 72</x:v>
      </x:c>
      <x:c r="C25" s="75" t="str">
        <x:v>Nabi Apartments, Los Angeles</x:v>
      </x:c>
      <x:c r="D25" s="75" t="str">
        <x:v>Offering source lacks mandatory listing date and current mandate confirmation.</x:v>
      </x:c>
      <x:c r="E25" s="75" t="str">
        <x:v>Obtain current mandate, dated listing, covenant status, and T-12.</x:v>
      </x:c>
      <x:c r="F25" s="75" t="str">
        <x:v>Prior public listing; review 2026-09-01</x:v>
      </x:c>
    </x:row>
    <x:row r="26" ht="62" customHeight="1">
      <x:c r="A26" s="75" t="str">
        <x:v>NY-001</x:v>
      </x:c>
      <x:c r="B26" s="75" t="str">
        <x:v>Active Sale / 73</x:v>
      </x:c>
      <x:c r="C26" s="75" t="str">
        <x:v>30-Unit MF Portfolio Sale, NYC</x:v>
      </x:c>
      <x:c r="D26" s="75" t="str">
        <x:v>Need component-building regulatory checks and current pricing/mandate.</x:v>
      </x:c>
      <x:c r="E26" s="75" t="str">
        <x:v>Obtain current mandate, component-building regulatory checks, and current pricing.</x:v>
      </x:c>
      <x:c r="F26" s="75" t="str">
        <x:v>Prior public listing; review 2026-09-01</x:v>
      </x:c>
    </x:row>
    <x:row r="27" ht="62" customHeight="1">
      <x:c r="A27" s="75" t="str">
        <x:v>FL-003</x:v>
      </x:c>
      <x:c r="B27" s="75" t="str">
        <x:v>Active Sale / 74</x:v>
      </x:c>
      <x:c r="C27" s="75" t="str">
        <x:v>California Club Apartments, Miami — $11.0M / 64 apartments</x:v>
      </x:c>
      <x:c r="D27" s="75" t="str">
        <x:v>Known direct listing but exclusive mandate and restriction confirmation are pending.</x:v>
      </x:c>
      <x:c r="E27" s="75" t="str">
        <x:v>Obtain exclusive mandate, current OM/rent roll, named broker, and restriction confirmation.</x:v>
      </x:c>
      <x:c r="F27" s="75" t="str">
        <x:v>Prior direct listing; review 2026-09-01</x:v>
      </x:c>
    </x:row>
    <x:row r="28" ht="62" customHeight="1">
      <x:c r="A28" s="75" t="str">
        <x:v>FL-001</x:v>
      </x:c>
      <x:c r="B28" s="75" t="str">
        <x:v>Active Sale / 73</x:v>
      </x:c>
      <x:c r="C28" s="75" t="str">
        <x:v>Gables Galiano, Coral Gables — $20.0M / 27 apartments</x:v>
      </x:c>
      <x:c r="D28" s="75" t="str">
        <x:v>Public active status persists, but current broker mandate / seller intent remains unverified.</x:v>
      </x:c>
      <x:c r="E28" s="75" t="str">
        <x:v>Obtain current broker mandate, seller intent, and price-flexibility confirmation.</x:v>
      </x:c>
      <x:c r="F28" s="75" t="str">
        <x:v>https://www.compass.com/building/c-gab-douglas-sec-coral-gables-fl/757308186771136541/ | reviewed 2026-09-01</x:v>
      </x:c>
    </x:row>
    <x:row r="30">
      <x:c r="A30" s="133" t="str">
        <x:v>Exclusions, controls, and coverage gaps</x:v>
      </x:c>
      <x:c r="B30" s="133"/>
      <x:c r="C30" s="133"/>
      <x:c r="D30" s="133"/>
      <x:c r="E30" s="133"/>
      <x:c r="F30" s="133"/>
      <x:c r="G30" s="133"/>
      <x:c r="H30" s="133"/>
      <x:c r="I30" s="133"/>
      <x:c r="J30" s="133"/>
      <x:c r="K30" s="133"/>
      <x:c r="L30" s="133"/>
      <x:c r="M30" s="133"/>
      <x:c r="N30" s="133"/>
      <x:c r="O30" s="133"/>
      <x:c r="P30" s="133"/>
      <x:c r="Q30" s="133"/>
      <x:c r="R30" s="133"/>
      <x:c r="S30" s="133"/>
      <x:c r="T30" s="133"/>
      <x:c r="U30" s="133"/>
    </x:row>
    <x:row r="31">
      <x:c r="A31" s="135" t="str">
        <x:v>Item</x:v>
      </x:c>
      <x:c r="B31" s="135" t="str">
        <x:v>Classification / reason</x:v>
      </x:c>
      <x:c r="C31" s="135" t="str">
        <x:v>Evidence and action</x:v>
      </x:c>
      <x:c r="D31" s="135"/>
      <x:c r="E31" s="135"/>
      <x:c r="F31" s="135"/>
      <x:c r="G31" s="135"/>
      <x:c r="H31" s="135"/>
      <x:c r="I31" s="135"/>
      <x:c r="J31" s="135"/>
      <x:c r="K31" s="135"/>
      <x:c r="L31" s="135"/>
      <x:c r="M31" s="135"/>
      <x:c r="N31" s="135"/>
      <x:c r="O31" s="135"/>
      <x:c r="P31" s="135"/>
      <x:c r="Q31" s="135"/>
      <x:c r="R31" s="135"/>
      <x:c r="S31" s="135"/>
      <x:c r="T31" s="135"/>
      <x:c r="U31" s="135"/>
    </x:row>
    <x:row r="32" ht="60"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0"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0" customHeight="1">
      <x:c r="A34" s="75" t="str">
        <x:v>Sunshine and 2629 NW 17th — Miami</x:v>
      </x:c>
      <x:c r="B34" s="75" t="str">
        <x:v>Excluded — development / materially mixed-use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0"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0"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0" customHeight="1">
      <x:c r="A37" s="75" t="str">
        <x:v>Kenmore East — Chicago</x:v>
      </x:c>
      <x:c r="B37" s="75" t="str">
        <x:v>Excluded — current availability unverified</x:v>
      </x:c>
      <x:c r="C37" s="75" t="str">
        <x:v>Direct listing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0"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0"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5:F15"/>
    <x:mergeCell ref="A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60" t="str">
        <x:v>Light Tower Group — Daily $10M+ Multifamily Sale &amp; Capital Opportunity Engine</x:v>
      </x:c>
      <x:c r="B1" s="160"/>
      <x:c r="C1" s="160"/>
      <x:c r="D1" s="160"/>
      <x:c r="E1" s="160"/>
      <x:c r="F1" s="160"/>
      <x:c r="G1" s="160"/>
      <x:c r="H1" s="160"/>
      <x:c r="I1" s="160"/>
      <x:c r="J1" s="160"/>
      <x:c r="K1" s="160"/>
      <x:c r="L1" s="160"/>
      <x:c r="M1" s="160"/>
      <x:c r="N1" s="160"/>
      <x:c r="O1" s="160"/>
      <x:c r="P1" s="160"/>
      <x:c r="Q1" s="160"/>
      <x:c r="R1" s="160"/>
      <x:c r="S1" s="160"/>
      <x:c r="T1" s="160"/>
      <x:c r="U1" s="160"/>
    </x:row>
    <x:row r="2" ht="30" customHeight="1">
      <x:c r="A2" s="144" t="str">
        <x:v>Run date: September 2, 2026 | Report-only | Targeted public-source sweep | No prospect outreach prepared, queued, scheduled, implied, or sent.</x:v>
      </x:c>
      <x:c r="B2" s="144"/>
      <x:c r="C2" s="144"/>
      <x:c r="D2" s="144"/>
      <x:c r="E2" s="144"/>
      <x:c r="F2" s="144"/>
      <x:c r="G2" s="144"/>
      <x:c r="H2" s="144"/>
      <x:c r="I2" s="144"/>
      <x:c r="J2" s="144"/>
      <x:c r="K2" s="144"/>
      <x:c r="L2" s="144"/>
      <x:c r="M2" s="144"/>
      <x:c r="N2" s="144"/>
      <x:c r="O2" s="144"/>
      <x:c r="P2" s="144"/>
      <x:c r="Q2" s="144"/>
      <x:c r="R2" s="144"/>
      <x:c r="S2" s="144"/>
      <x:c r="T2" s="144"/>
      <x:c r="U2" s="144"/>
    </x:row>
    <x:row r="4">
      <x:c r="A4" s="147" t="str">
        <x:v>Action queue</x:v>
      </x:c>
      <x:c r="B4" s="147" t="str">
        <x:v>Count</x:v>
      </x:c>
      <x:c r="D4" s="147" t="str">
        <x:v>Pipeline</x:v>
      </x:c>
      <x:c r="E4" s="147"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48" t="str">
        <x:v>Action Queue — qualified only (75–84); each item clears the $10M gate and has a current Tier 1 source.</x:v>
      </x:c>
      <x:c r="B9" s="148"/>
      <x:c r="C9" s="148"/>
      <x:c r="D9" s="148"/>
      <x:c r="E9" s="148"/>
      <x:c r="F9" s="148"/>
      <x:c r="G9" s="148"/>
      <x:c r="H9" s="148"/>
      <x:c r="I9" s="148"/>
      <x:c r="J9" s="148"/>
      <x:c r="K9" s="148"/>
      <x:c r="L9" s="148"/>
      <x:c r="M9" s="148"/>
      <x:c r="N9" s="148"/>
      <x:c r="O9" s="148"/>
      <x:c r="P9" s="148"/>
      <x:c r="Q9" s="148"/>
      <x:c r="R9" s="148"/>
      <x:c r="S9" s="148"/>
      <x:c r="T9" s="148"/>
      <x:c r="U9" s="148"/>
    </x:row>
    <x:row r="10" ht="36" customHeight="1">
      <x:c r="A10" s="152" t="str">
        <x:v>Lead ID</x:v>
      </x:c>
      <x:c r="B10" s="152" t="str">
        <x:v>Asset</x:v>
      </x:c>
      <x:c r="C10" s="152" t="str">
        <x:v>Class</x:v>
      </x:c>
      <x:c r="D10" s="152" t="str">
        <x:v>$10M Gate</x:v>
      </x:c>
      <x:c r="E10" s="152" t="str">
        <x:v>Score</x:v>
      </x:c>
      <x:c r="F10" s="152" t="str">
        <x:v>Run Status</x:v>
      </x:c>
      <x:c r="G10" s="152" t="str">
        <x:v>Address</x:v>
      </x:c>
      <x:c r="H10" s="152" t="str">
        <x:v>MSA</x:v>
      </x:c>
      <x:c r="I10" s="152" t="str">
        <x:v>Units</x:v>
      </x:c>
      <x:c r="J10" s="152" t="str">
        <x:v>Asking / Debt ($)</x:v>
      </x:c>
      <x:c r="K10" s="152" t="str">
        <x:v>Owner / Sponsor / Lender / Broker</x:v>
      </x:c>
      <x:c r="L10" s="152" t="str">
        <x:v>Observed Facts</x:v>
      </x:c>
      <x:c r="M10" s="152" t="str">
        <x:v>Inference</x:v>
      </x:c>
      <x:c r="N10" s="152" t="str">
        <x:v>Counterargument</x:v>
      </x:c>
      <x:c r="O10" s="152" t="str">
        <x:v>Light Tower Angle</x:v>
      </x:c>
      <x:c r="P10" s="152" t="str">
        <x:v>Observed / Listing Date</x:v>
      </x:c>
      <x:c r="Q10" s="152" t="str">
        <x:v>Source Tier</x:v>
      </x:c>
      <x:c r="R10" s="152" t="str">
        <x:v>Current Availability</x:v>
      </x:c>
      <x:c r="S10" s="152" t="str">
        <x:v>Verified Public Contact</x:v>
      </x:c>
      <x:c r="T10" s="152" t="str">
        <x:v>Source URL</x:v>
      </x:c>
      <x:c r="U10" s="152"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2: 2019 Class A, 18-unit apartment property, stated 100% occupancy and 4.60% cap rate; listed Aug. 3.</x:v>
      </x:c>
      <x:c r="M11" s="75" t="str">
        <x:v>Fresh conventional marketing supports buyer financing, acquisition-sale advisory, or senior refinance/recap.</x:v>
      </x:c>
      <x:c r="N11" s="75" t="str">
        <x:v>Confirm seller authority, rent roll/cap-rate assumptions, and any recorded affordability covenant.</x:v>
      </x:c>
      <x:c r="O11" s="75" t="str">
        <x:v>Buyer financing / acquisition-sale advisory / senior refinance</x:v>
      </x:c>
      <x:c r="P11" s="75" t="str">
        <x:v>Listed 2026-08-03; reviewed 2026-09-02</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2: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2026-09-02</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54" t="str">
        <x:v>Watch (65–74) — verification required before promotion</x:v>
      </x:c>
      <x:c r="B14" s="154"/>
      <x:c r="C14" s="154"/>
      <x:c r="D14" s="154"/>
      <x:c r="E14" s="154"/>
      <x:c r="F14" s="154"/>
      <x:c r="G14" s="154"/>
    </x:row>
    <x:row r="15">
      <x:c r="A15" s="155" t="str">
        <x:v>Lead ID</x:v>
      </x:c>
      <x:c r="B15" s="155" t="str">
        <x:v>Class / Score</x:v>
      </x:c>
      <x:c r="C15" s="155" t="str">
        <x:v>$10M Gate / Asset</x:v>
      </x:c>
      <x:c r="D15" s="155" t="str">
        <x:v>Observed facts</x:v>
      </x:c>
      <x:c r="E15" s="155" t="str">
        <x:v>Inference / counterargument</x:v>
      </x:c>
      <x:c r="F15" s="155" t="str">
        <x:v>Exact next verification step</x:v>
      </x:c>
      <x:c r="G15" s="155"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is now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2026-09-02</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2026-09-02</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2026-09-02</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2026-09-02</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2026-09-02</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2026-09-02</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2026-09-02</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2026-09-02</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2026-09-02</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2026-09-02</x:v>
      </x:c>
    </x:row>
    <x:row r="29">
      <x:c r="A29" s="157" t="str">
        <x:v>Exclusions, controls, and coverage gaps</x:v>
      </x:c>
      <x:c r="B29" s="157"/>
      <x:c r="C29" s="157"/>
      <x:c r="D29" s="157"/>
      <x:c r="E29" s="157"/>
      <x:c r="F29" s="157"/>
      <x:c r="G29" s="157"/>
      <x:c r="H29" s="157"/>
      <x:c r="I29" s="157"/>
      <x:c r="J29" s="157"/>
      <x:c r="K29" s="157"/>
      <x:c r="L29" s="157"/>
      <x:c r="M29" s="157"/>
      <x:c r="N29" s="157"/>
      <x:c r="O29" s="157"/>
      <x:c r="P29" s="157"/>
      <x:c r="Q29" s="157"/>
      <x:c r="R29" s="157"/>
      <x:c r="S29" s="157"/>
      <x:c r="T29" s="157"/>
      <x:c r="U29" s="157"/>
    </x:row>
    <x:row r="30">
      <x:c r="A30" s="159" t="str">
        <x:v>Item</x:v>
      </x:c>
      <x:c r="B30" s="159" t="str">
        <x:v>Classification / reason</x:v>
      </x:c>
      <x:c r="C30" s="159" t="str">
        <x:v>Evidence and action</x:v>
      </x:c>
      <x:c r="D30" s="159"/>
      <x:c r="E30" s="159"/>
      <x:c r="F30" s="159"/>
      <x:c r="G30" s="159"/>
      <x:c r="H30" s="159"/>
      <x:c r="I30" s="159"/>
      <x:c r="J30" s="159"/>
      <x:c r="K30" s="159"/>
      <x:c r="L30" s="159"/>
      <x:c r="M30" s="159"/>
      <x:c r="N30" s="159"/>
      <x:c r="O30" s="159"/>
      <x:c r="P30" s="159"/>
      <x:c r="Q30" s="159"/>
      <x:c r="R30" s="159"/>
      <x:c r="S30" s="159"/>
      <x:c r="T30" s="159"/>
      <x:c r="U30" s="159"/>
    </x:row>
    <x:row r="31" ht="62" customHeight="1">
      <x:c r="A31" s="75" t="str">
        <x:v>PHI-006 — 2328–2344 N. 2nd St., Philadelphia</x:v>
      </x:c>
      <x:c r="B31" s="75" t="str">
        <x:v>Excluded — materially mixed asset / adjacent development parcels</x:v>
      </x:c>
      <x:c r="C31" s="75" t="str">
        <x:v>Sept. 2 Tier 1 listing is active at $11,999,999 and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1" s="75"/>
      <x:c r="E31" s="75"/>
      <x:c r="F31" s="75"/>
      <x:c r="G31" s="75"/>
      <x:c r="H31" s="75"/>
      <x:c r="I31" s="75"/>
      <x:c r="J31" s="75"/>
      <x:c r="K31" s="75"/>
      <x:c r="L31" s="75"/>
      <x:c r="M31" s="75"/>
      <x:c r="N31" s="75"/>
      <x:c r="O31" s="75"/>
      <x:c r="P31" s="75"/>
      <x:c r="Q31" s="75"/>
      <x:c r="R31" s="75"/>
      <x:c r="S31" s="75"/>
      <x:c r="T31" s="75"/>
      <x:c r="U31" s="75"/>
    </x:row>
    <x:row r="32" ht="62" customHeight="1">
      <x:c r="A32" s="75" t="str">
        <x:v>2629 NW 17th Ave., Miami</x:v>
      </x:c>
      <x:c r="B32" s="75" t="str">
        <x:v>Excluded — development-first / workforce-housing strategy and stale date</x:v>
      </x:c>
      <x:c r="C32" s="75" t="str">
        <x:v>Current Tier 1 listing says $10.0M / 34 apartments but expressly markets covered-land, high-density, Live Local/workforce-housing potential. Date on market: 2024-11-11. https://www.loopnet.com/Listing/2629-NW-17th-Ave-Miami-FL/33827457/</x:v>
      </x:c>
      <x:c r="D32" s="75"/>
      <x:c r="E32" s="75"/>
      <x:c r="F32" s="75"/>
      <x:c r="G32" s="75"/>
      <x:c r="H32" s="75"/>
      <x:c r="I32" s="75"/>
      <x:c r="J32" s="75"/>
      <x:c r="K32" s="75"/>
      <x:c r="L32" s="75"/>
      <x:c r="M32" s="75"/>
      <x:c r="N32" s="75"/>
      <x:c r="O32" s="75"/>
      <x:c r="P32" s="75"/>
      <x:c r="Q32" s="75"/>
      <x:c r="R32" s="75"/>
      <x:c r="S32" s="75"/>
      <x:c r="T32" s="75"/>
      <x:c r="U32" s="75"/>
    </x:row>
    <x:row r="33" ht="62" customHeight="1">
      <x:c r="A33" s="75" t="str">
        <x:v>The Peake, Centennial, Metropolitan Building — Los Angeles</x:v>
      </x:c>
      <x:c r="B33" s="75" t="str">
        <x:v>Excluded — known or unresolved affordable / RSO restrictions</x:v>
      </x:c>
      <x:c r="C33" s="75" t="str">
        <x:v>Retain outside primary unrestricted queue unless the mandate changes and primary regulatory evidence clears status.</x:v>
      </x:c>
      <x:c r="D33" s="75"/>
      <x:c r="E33" s="75"/>
      <x:c r="F33" s="75"/>
      <x:c r="G33" s="75"/>
      <x:c r="H33" s="75"/>
      <x:c r="I33" s="75"/>
      <x:c r="J33" s="75"/>
      <x:c r="K33" s="75"/>
      <x:c r="L33" s="75"/>
      <x:c r="M33" s="75"/>
      <x:c r="N33" s="75"/>
      <x:c r="O33" s="75"/>
      <x:c r="P33" s="75"/>
      <x:c r="Q33" s="75"/>
      <x:c r="R33" s="75"/>
      <x:c r="S33" s="75"/>
      <x:c r="T33" s="75"/>
      <x:c r="U33" s="75"/>
    </x:row>
    <x:row r="34" ht="62" customHeight="1">
      <x:c r="A34" s="75" t="str">
        <x:v>Sunshine and 2629 NW 17th — Miami</x:v>
      </x:c>
      <x:c r="B34" s="75" t="str">
        <x:v>Excluded — development / materially mixed use</x:v>
      </x:c>
      <x:c r="C34" s="75" t="str">
        <x:v>Not conventional rental-multifamily dominant under the mandate.</x:v>
      </x:c>
      <x:c r="D34" s="75"/>
      <x:c r="E34" s="75"/>
      <x:c r="F34" s="75"/>
      <x:c r="G34" s="75"/>
      <x:c r="H34" s="75"/>
      <x:c r="I34" s="75"/>
      <x:c r="J34" s="75"/>
      <x:c r="K34" s="75"/>
      <x:c r="L34" s="75"/>
      <x:c r="M34" s="75"/>
      <x:c r="N34" s="75"/>
      <x:c r="O34" s="75"/>
      <x:c r="P34" s="75"/>
      <x:c r="Q34" s="75"/>
      <x:c r="R34" s="75"/>
      <x:c r="S34" s="75"/>
      <x:c r="T34" s="75"/>
      <x:c r="U34" s="75"/>
    </x:row>
    <x:row r="35" ht="62" customHeight="1">
      <x:c r="A35" s="75" t="str">
        <x:v>Allapattah 23 — Miami</x:v>
      </x:c>
      <x:c r="B35" s="75" t="str">
        <x:v>Excluded — sub-$10M and product mismatch</x:v>
      </x:c>
      <x:c r="C35" s="75" t="str">
        <x:v>Current record is $9.5M and identifies a Multifamily Dormitory subtype.</x:v>
      </x:c>
      <x:c r="D35" s="75"/>
      <x:c r="E35" s="75"/>
      <x:c r="F35" s="75"/>
      <x:c r="G35" s="75"/>
      <x:c r="H35" s="75"/>
      <x:c r="I35" s="75"/>
      <x:c r="J35" s="75"/>
      <x:c r="K35" s="75"/>
      <x:c r="L35" s="75"/>
      <x:c r="M35" s="75"/>
      <x:c r="N35" s="75"/>
      <x:c r="O35" s="75"/>
      <x:c r="P35" s="75"/>
      <x:c r="Q35" s="75"/>
      <x:c r="R35" s="75"/>
      <x:c r="S35" s="75"/>
      <x:c r="T35" s="75"/>
      <x:c r="U35" s="75"/>
    </x:row>
    <x:row r="36" ht="62" customHeight="1">
      <x:c r="A36" s="75" t="str">
        <x:v>Prior Philadelphia student/rent-by-bed candidates</x:v>
      </x:c>
      <x:c r="B36" s="75" t="str">
        <x:v>Excluded — product mismatch</x:v>
      </x:c>
      <x:c r="C36" s="75" t="str">
        <x:v>Do not promote without a conventional lease-structure confirmation.</x:v>
      </x:c>
      <x:c r="D36" s="75"/>
      <x:c r="E36" s="75"/>
      <x:c r="F36" s="75"/>
      <x:c r="G36" s="75"/>
      <x:c r="H36" s="75"/>
      <x:c r="I36" s="75"/>
      <x:c r="J36" s="75"/>
      <x:c r="K36" s="75"/>
      <x:c r="L36" s="75"/>
      <x:c r="M36" s="75"/>
      <x:c r="N36" s="75"/>
      <x:c r="O36" s="75"/>
      <x:c r="P36" s="75"/>
      <x:c r="Q36" s="75"/>
      <x:c r="R36" s="75"/>
      <x:c r="S36" s="75"/>
      <x:c r="T36" s="75"/>
      <x:c r="U36" s="75"/>
    </x:row>
    <x:row r="37" ht="62" customHeight="1">
      <x:c r="A37" s="75" t="str">
        <x:v>Kenmore East — Chicago</x:v>
      </x:c>
      <x:c r="B37" s="75" t="str">
        <x:v>Excluded — current availability unverified</x:v>
      </x:c>
      <x:c r="C37" s="75" t="str">
        <x:v>Direct listing is no longer advertised; require renewed current marketing evidence.</x:v>
      </x:c>
      <x:c r="D37" s="75"/>
      <x:c r="E37" s="75"/>
      <x:c r="F37" s="75"/>
      <x:c r="G37" s="75"/>
      <x:c r="H37" s="75"/>
      <x:c r="I37" s="75"/>
      <x:c r="J37" s="75"/>
      <x:c r="K37" s="75"/>
      <x:c r="L37" s="75"/>
      <x:c r="M37" s="75"/>
      <x:c r="N37" s="75"/>
      <x:c r="O37" s="75"/>
      <x:c r="P37" s="75"/>
      <x:c r="Q37" s="75"/>
      <x:c r="R37" s="75"/>
      <x:c r="S37" s="75"/>
      <x:c r="T37" s="75"/>
      <x:c r="U37" s="75"/>
    </x:row>
    <x:row r="38" ht="62" customHeight="1">
      <x:c r="A38" s="75" t="str">
        <x:v>Coverage limitation</x:v>
      </x:c>
      <x:c r="B38" s="75" t="str">
        <x:v>Gap</x:v>
      </x:c>
      <x:c r="C38" s="75" t="str">
        <x:v>Targeted public-source sweep only, not universal listing coverage of an MSA, Florida, or North Carolina. No new qualified lead was verified in NYC, named North Carolina MSAs, Orlando, Jacksonville, Fort Myers, Naples, Sarasota, Palm Bay, Lakeland, or Daytona Beach.</x:v>
      </x:c>
      <x:c r="D38" s="75"/>
      <x:c r="E38" s="75"/>
      <x:c r="F38" s="75"/>
      <x:c r="G38" s="75"/>
      <x:c r="H38" s="75"/>
      <x:c r="I38" s="75"/>
      <x:c r="J38" s="75"/>
      <x:c r="K38" s="75"/>
      <x:c r="L38" s="75"/>
      <x:c r="M38" s="75"/>
      <x:c r="N38" s="75"/>
      <x:c r="O38" s="75"/>
      <x:c r="P38" s="75"/>
      <x:c r="Q38" s="75"/>
      <x:c r="R38" s="75"/>
      <x:c r="S38" s="75"/>
      <x:c r="T38" s="75"/>
      <x:c r="U38" s="75"/>
    </x:row>
    <x:row r="39" ht="62" customHeight="1">
      <x:c r="A39" s="75" t="str">
        <x:v>Delivery / outreach control</x:v>
      </x:c>
      <x:c r="B39" s="75" t="str">
        <x:v>Constraint</x:v>
      </x:c>
      <x:c r="C39" s="75" t="str">
        <x:v>No connected Google Sheets session or authenticated email connector was available. This fallback workbook was produced; historical $20M tabs were not touched. No prospect outreach was sent or implied; named lead IDs require explicit per-run approval.</x:v>
      </x:c>
      <x:c r="D39" s="75"/>
      <x:c r="E39" s="75"/>
      <x:c r="F39" s="75"/>
      <x:c r="G39" s="75"/>
      <x:c r="H39" s="75"/>
      <x:c r="I39" s="75"/>
      <x:c r="J39" s="75"/>
      <x:c r="K39" s="75"/>
      <x:c r="L39" s="75"/>
      <x:c r="M39" s="75"/>
      <x:c r="N39" s="75"/>
      <x:c r="O39" s="75"/>
      <x:c r="P39" s="75"/>
      <x:c r="Q39" s="75"/>
      <x:c r="R39" s="75"/>
      <x:c r="S39" s="75"/>
      <x:c r="T39" s="75"/>
      <x:c r="U39"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3" hidden="0" customWidth="1"/>
    <x:col min="2" max="2" width="23" hidden="0" customWidth="1"/>
    <x:col min="3" max="3" width="15" hidden="0" customWidth="1"/>
    <x:col min="4" max="4" width="23" hidden="0" customWidth="1"/>
    <x:col min="5" max="5" width="8" hidden="0" customWidth="1"/>
    <x:col min="6" max="6" width="13" hidden="0" customWidth="1"/>
    <x:col min="7" max="7" width="25" hidden="0" customWidth="1"/>
    <x:col min="8" max="8" width="18" hidden="0" customWidth="1"/>
    <x:col min="9" max="9" width="8" hidden="0" customWidth="1"/>
    <x:col min="10" max="10" width="16" hidden="0" customWidth="1"/>
    <x:col min="11" max="11" width="31" hidden="0" customWidth="1"/>
    <x:col min="12" max="12" width="43" hidden="0" customWidth="1"/>
    <x:col min="13" max="13" width="34" hidden="0" customWidth="1"/>
    <x:col min="14" max="14" width="34" hidden="0" customWidth="1"/>
    <x:col min="15" max="15" width="35" hidden="0" customWidth="1"/>
    <x:col min="16" max="16" width="21" hidden="0" customWidth="1"/>
    <x:col min="17" max="17" width="12" hidden="0" customWidth="1"/>
    <x:col min="18" max="18" width="20" hidden="0" customWidth="1"/>
    <x:col min="19" max="19" width="33" hidden="0" customWidth="1"/>
    <x:col min="20" max="20" width="52" hidden="0" customWidth="1"/>
    <x:col min="21" max="21" width="28" hidden="0" customWidth="1"/>
  </x:cols>
  <x:sheetData>
    <x:row r="1" ht="28" customHeight="1">
      <x:c r="A1" s="184" t="str">
        <x:v>Light Tower Group — Daily $10M+ Multifamily Sale &amp; Capital Opportunity Engine</x:v>
      </x:c>
      <x:c r="B1" s="184"/>
      <x:c r="C1" s="184"/>
      <x:c r="D1" s="184"/>
      <x:c r="E1" s="184"/>
      <x:c r="F1" s="184"/>
      <x:c r="G1" s="184"/>
      <x:c r="H1" s="184"/>
      <x:c r="I1" s="184"/>
      <x:c r="J1" s="184"/>
      <x:c r="K1" s="184"/>
      <x:c r="L1" s="184"/>
      <x:c r="M1" s="184"/>
      <x:c r="N1" s="184"/>
      <x:c r="O1" s="184"/>
      <x:c r="P1" s="184"/>
      <x:c r="Q1" s="184"/>
      <x:c r="R1" s="184"/>
      <x:c r="S1" s="184"/>
      <x:c r="T1" s="184"/>
      <x:c r="U1" s="184"/>
    </x:row>
    <x:row r="2" ht="30" customHeight="1">
      <x:c r="A2" s="168" t="str">
        <x:v>Run date: September 3, 2026 | Report-only | Targeted public-source sweep | No prospect outreach prepared, queued, scheduled, implied, or sent.</x:v>
      </x:c>
      <x:c r="B2" s="168"/>
      <x:c r="C2" s="168"/>
      <x:c r="D2" s="168"/>
      <x:c r="E2" s="168"/>
      <x:c r="F2" s="168"/>
      <x:c r="G2" s="168"/>
      <x:c r="H2" s="168"/>
      <x:c r="I2" s="168"/>
      <x:c r="J2" s="168"/>
      <x:c r="K2" s="168"/>
      <x:c r="L2" s="168"/>
      <x:c r="M2" s="168"/>
      <x:c r="N2" s="168"/>
      <x:c r="O2" s="168"/>
      <x:c r="P2" s="168"/>
      <x:c r="Q2" s="168"/>
      <x:c r="R2" s="168"/>
      <x:c r="S2" s="168"/>
      <x:c r="T2" s="168"/>
      <x:c r="U2" s="168"/>
    </x:row>
    <x:row r="4">
      <x:c r="A4" s="171" t="str">
        <x:v>Action queue</x:v>
      </x:c>
      <x:c r="B4" s="171" t="str">
        <x:v>Count</x:v>
      </x:c>
      <x:c r="D4" s="171" t="str">
        <x:v>Pipeline</x:v>
      </x:c>
      <x:c r="E4" s="171" t="str">
        <x:v>Count</x:v>
      </x:c>
    </x:row>
    <x:row r="5">
      <x:c r="A5" s="67" t="str">
        <x:v>Priority (85+)</x:v>
      </x:c>
      <x:c r="B5" s="69" t="n">
        <x:v>0</x:v>
      </x:c>
      <x:c r="D5" s="67" t="str">
        <x:v>Watch (65–74)</x:v>
      </x:c>
      <x:c r="E5" s="69" t="n">
        <x:v>12</x:v>
      </x:c>
    </x:row>
    <x:row r="6">
      <x:c r="A6" s="67" t="str">
        <x:v>Qualified (75–84)</x:v>
      </x:c>
      <x:c r="B6" s="69" t="n">
        <x:v>2</x:v>
      </x:c>
      <x:c r="D6" s="67" t="str">
        <x:v>New Watch items</x:v>
      </x:c>
      <x:c r="E6" s="69" t="n">
        <x:v>0</x:v>
      </x:c>
    </x:row>
    <x:row r="7">
      <x:c r="A7" s="67" t="str">
        <x:v>New qualified action leads</x:v>
      </x:c>
      <x:c r="B7" s="69" t="n">
        <x:v>0</x:v>
      </x:c>
      <x:c r="D7" s="67" t="str">
        <x:v>New exclusions</x:v>
      </x:c>
      <x:c r="E7" s="69" t="n">
        <x:v>1</x:v>
      </x:c>
    </x:row>
    <x:row r="9">
      <x:c r="A9" s="172" t="str">
        <x:v>Action Queue — qualified only (75–84); each item clears the $10M gate and has a current Tier 1 source.</x:v>
      </x:c>
      <x:c r="B9" s="172"/>
      <x:c r="C9" s="172"/>
      <x:c r="D9" s="172"/>
      <x:c r="E9" s="172"/>
      <x:c r="F9" s="172"/>
      <x:c r="G9" s="172"/>
      <x:c r="H9" s="172"/>
      <x:c r="I9" s="172"/>
      <x:c r="J9" s="172"/>
      <x:c r="K9" s="172"/>
      <x:c r="L9" s="172"/>
      <x:c r="M9" s="172"/>
      <x:c r="N9" s="172"/>
      <x:c r="O9" s="172"/>
      <x:c r="P9" s="172"/>
      <x:c r="Q9" s="172"/>
      <x:c r="R9" s="172"/>
      <x:c r="S9" s="172"/>
      <x:c r="T9" s="172"/>
      <x:c r="U9" s="172"/>
    </x:row>
    <x:row r="10" ht="36" customHeight="1">
      <x:c r="A10" s="176" t="str">
        <x:v>Lead ID</x:v>
      </x:c>
      <x:c r="B10" s="176" t="str">
        <x:v>Asset</x:v>
      </x:c>
      <x:c r="C10" s="176" t="str">
        <x:v>Class</x:v>
      </x:c>
      <x:c r="D10" s="176" t="str">
        <x:v>$10M Gate</x:v>
      </x:c>
      <x:c r="E10" s="176" t="str">
        <x:v>Score</x:v>
      </x:c>
      <x:c r="F10" s="176" t="str">
        <x:v>Run Status</x:v>
      </x:c>
      <x:c r="G10" s="176" t="str">
        <x:v>Address</x:v>
      </x:c>
      <x:c r="H10" s="176" t="str">
        <x:v>MSA</x:v>
      </x:c>
      <x:c r="I10" s="176" t="str">
        <x:v>Units</x:v>
      </x:c>
      <x:c r="J10" s="176" t="str">
        <x:v>Asking / Debt ($)</x:v>
      </x:c>
      <x:c r="K10" s="176" t="str">
        <x:v>Owner / Sponsor / Lender / Broker</x:v>
      </x:c>
      <x:c r="L10" s="176" t="str">
        <x:v>Observed Facts</x:v>
      </x:c>
      <x:c r="M10" s="176" t="str">
        <x:v>Inference</x:v>
      </x:c>
      <x:c r="N10" s="176" t="str">
        <x:v>Counterargument</x:v>
      </x:c>
      <x:c r="O10" s="176" t="str">
        <x:v>Light Tower Angle</x:v>
      </x:c>
      <x:c r="P10" s="176" t="str">
        <x:v>Observed / Listing Date</x:v>
      </x:c>
      <x:c r="Q10" s="176" t="str">
        <x:v>Source Tier</x:v>
      </x:c>
      <x:c r="R10" s="176" t="str">
        <x:v>Current Availability</x:v>
      </x:c>
      <x:c r="S10" s="176" t="str">
        <x:v>Verified Public Contact</x:v>
      </x:c>
      <x:c r="T10" s="176" t="str">
        <x:v>Source URL</x:v>
      </x:c>
      <x:c r="U10" s="176" t="str">
        <x:v>Score detail</x:v>
      </x:c>
    </x:row>
    <x:row r="11" ht="94" customHeight="1">
      <x:c r="A11" s="75" t="str">
        <x:v>LA-010</x:v>
      </x:c>
      <x:c r="B11" s="75" t="str">
        <x:v>3675 Dunn Drive</x:v>
      </x:c>
      <x:c r="C11" s="75" t="str">
        <x:v>Active Sale</x:v>
      </x:c>
      <x:c r="D11" s="75" t="str">
        <x:v>$15.95M asking</x:v>
      </x:c>
      <x:c r="E11" s="77" t="n">
        <x:v>79</x:v>
      </x:c>
      <x:c r="F11" s="75" t="str">
        <x:v>Continuing</x:v>
      </x:c>
      <x:c r="G11" s="75" t="str">
        <x:v>3675 Dunn Dr.</x:v>
      </x:c>
      <x:c r="H11" s="75" t="str">
        <x:v>Los Angeles MSA</x:v>
      </x:c>
      <x:c r="I11" s="78" t="n">
        <x:v>18</x:v>
      </x:c>
      <x:c r="J11" s="79" t="n">
        <x:v>15950000</x:v>
      </x:c>
      <x:c r="K11" s="75" t="str">
        <x:v>KW Commercial; Alex Galuz</x:v>
      </x:c>
      <x:c r="L11" s="75" t="str">
        <x:v>Tier 1 listing is currently available Sept. 3: 2019 Class A, 18-unit apartment property, stated 100% occupancy and 4.60% cap rate; listed Aug. 3.</x:v>
      </x:c>
      <x:c r="M11" s="75" t="str">
        <x:v>Fresh conventional marketing supports buyer financing, acquisition-sale advisory, or senior refinance/recap.</x:v>
      </x:c>
      <x:c r="N11" s="75" t="str">
        <x:v>Older public sale-history pages and an archived broker sale tile refer to a 2023 sale; require current seller authority, rent roll/cap-rate assumptions, and any affordability covenant before engagement.</x:v>
      </x:c>
      <x:c r="O11" s="75" t="str">
        <x:v>Buyer financing / acquisition-sale advisory / senior refinance</x:v>
      </x:c>
      <x:c r="P11" s="75" t="str">
        <x:v>Listed 2026-08-03; reviewed 2026-09-03</x:v>
      </x:c>
      <x:c r="Q11" s="75" t="str">
        <x:v>Tier 1</x:v>
      </x:c>
      <x:c r="R11" s="75" t="str">
        <x:v>Currently available</x:v>
      </x:c>
      <x:c r="S11" s="75" t="str">
        <x:v>Alex Galuz, KW Commercial, +1 310-466-0888</x:v>
      </x:c>
      <x:c r="T11" s="75" t="str">
        <x:v>https://www.loopnet.com/Listing/3675-Dunn-Dr-Los-Angeles-CA/41534752/</x:v>
      </x:c>
      <x:c r="U11" s="75" t="str">
        <x:v>35 sale + 0 capital + 15 fit + 9 execution + 15 evidence + 5 contact = 79</x:v>
      </x:c>
    </x:row>
    <x:row r="12" ht="94" customHeight="1">
      <x:c r="A12" s="75" t="str">
        <x:v>CHI-004</x:v>
      </x:c>
      <x:c r="B12" s="75" t="str">
        <x:v>Washington Plaza</x:v>
      </x:c>
      <x:c r="C12" s="75" t="str">
        <x:v>Active Sale</x:v>
      </x:c>
      <x:c r="D12" s="75" t="str">
        <x:v>$12.0M asking</x:v>
      </x:c>
      <x:c r="E12" s="77" t="n">
        <x:v>78</x:v>
      </x:c>
      <x:c r="F12" s="75" t="str">
        <x:v>Continuing</x:v>
      </x:c>
      <x:c r="G12" s="75" t="str">
        <x:v>5501 W. Washington Blvd.</x:v>
      </x:c>
      <x:c r="H12" s="75" t="str">
        <x:v>Chicago MSA</x:v>
      </x:c>
      <x:c r="I12" s="78" t="n">
        <x:v>172</x:v>
      </x:c>
      <x:c r="J12" s="79" t="n">
        <x:v>12000000</x:v>
      </x:c>
      <x:c r="K12" s="75" t="str">
        <x:v>33 Realty; Brian Mond and George Benitez</x:v>
      </x:c>
      <x:c r="L12" s="75" t="str">
        <x:v>Tier 1 listing is currently available Sept. 3: 172 apartments, stated 98% occupancy, R-4 zoning, and a July 22 market date.</x:v>
      </x:c>
      <x:c r="M12" s="75" t="str">
        <x:v>Live marketing supports buyer financing, acquisition-sale advisory, or value-add refinance/recap.</x:v>
      </x:c>
      <x:c r="N12" s="75" t="str">
        <x:v>Subsidy contracts, deferred maintenance, seller authority, and rent-roll quality remain unverified.</x:v>
      </x:c>
      <x:c r="O12" s="75" t="str">
        <x:v>Buyer financing / acquisition-sale advisory / senior refinance</x:v>
      </x:c>
      <x:c r="P12" s="75" t="str">
        <x:v>Listed 2026-07-22; reviewed 2026-09-03</x:v>
      </x:c>
      <x:c r="Q12" s="75" t="str">
        <x:v>Tier 1</x:v>
      </x:c>
      <x:c r="R12" s="75" t="str">
        <x:v>Currently available</x:v>
      </x:c>
      <x:c r="S12" s="75" t="str">
        <x:v>Brian Mond, 33 Realty, +1 773-615-2626; George Benitez, 33 Realty, +1 239-443-0768</x:v>
      </x:c>
      <x:c r="T12" s="75" t="str">
        <x:v>https://www.loopnet.com/Listing/5501-W-Washington-Blvd-Chicago-IL/41395207/</x:v>
      </x:c>
      <x:c r="U12" s="75" t="str">
        <x:v>35 sale + 0 capital + 14 fit + 9 execution + 15 evidence + 5 contact = 78</x:v>
      </x:c>
    </x:row>
    <x:row r="14">
      <x:c r="A14" s="178" t="str">
        <x:v>Watch (65–74) — verification required before promotion</x:v>
      </x:c>
      <x:c r="B14" s="178"/>
      <x:c r="C14" s="178"/>
      <x:c r="D14" s="178"/>
      <x:c r="E14" s="178"/>
      <x:c r="F14" s="178"/>
      <x:c r="G14" s="178"/>
    </x:row>
    <x:row r="15">
      <x:c r="A15" s="179" t="str">
        <x:v>Lead ID</x:v>
      </x:c>
      <x:c r="B15" s="179" t="str">
        <x:v>Class / Score</x:v>
      </x:c>
      <x:c r="C15" s="179" t="str">
        <x:v>$10M Gate / Asset</x:v>
      </x:c>
      <x:c r="D15" s="179" t="str">
        <x:v>Observed facts</x:v>
      </x:c>
      <x:c r="E15" s="179" t="str">
        <x:v>Inference / counterargument</x:v>
      </x:c>
      <x:c r="F15" s="179" t="str">
        <x:v>Exact next verification step</x:v>
      </x:c>
      <x:c r="G15" s="179" t="str">
        <x:v>Source / date</x:v>
      </x:c>
    </x:row>
    <x:row r="16" ht="70" customHeight="1">
      <x:c r="A16" s="75" t="str">
        <x:v>CHI-001</x:v>
      </x:c>
      <x:c r="B16" s="75" t="str">
        <x:v>Capital Event / 74</x:v>
      </x:c>
      <x:c r="C16" s="75" t="str">
        <x:v>Drexel Terraces, Chicago — $31.0M original CMBS debt; 116 units</x:v>
      </x:c>
      <x:c r="D16" s="75" t="str">
        <x:v>May 19 Tier 2 reporting names payment default, receiver motion, and roughly $35M foreclosure claim. Last process trigger remains stale.</x:v>
      </x:c>
      <x:c r="E16" s="75" t="str">
        <x:v>No current primary docket, receiver, lender, or servicer sale/workout record; cap score below action status.</x:v>
      </x:c>
      <x:c r="F16" s="75" t="str">
        <x:v>Pull current Cook County docket/receiver order; verify servicer, borrower, balance, and sale/workout timetable.</x:v>
      </x:c>
      <x:c r="G16" s="75" t="str">
        <x:v>https://therealdeal.com/chicago/2026/05/19/chicago-cmbs-foreclosure-hits-lowenstein-apartments/ | 2026-05-19</x:v>
      </x:c>
    </x:row>
    <x:row r="17" ht="70" customHeight="1">
      <x:c r="A17" s="75" t="str">
        <x:v>CHI-003</x:v>
      </x:c>
      <x:c r="B17" s="75" t="str">
        <x:v>Capital Event / 74</x:v>
      </x:c>
      <x:c r="C17" s="75" t="str">
        <x:v>4520–26 S. Drexel Blvd., Chicago</x:v>
      </x:c>
      <x:c r="D17" s="75" t="str">
        <x:v>Secondary foreclosure reporting remains insufficient as primary process evidence.</x:v>
      </x:c>
      <x:c r="E17" s="75" t="str">
        <x:v>Asset/counterparty linkage and a sale timetable are not verified by Tier 1 evidence.</x:v>
      </x:c>
      <x:c r="F17" s="75" t="str">
        <x:v>Obtain Cook County primary docket and receiver order; verify servicer and sale timetable.</x:v>
      </x:c>
      <x:c r="G17" s="75" t="str">
        <x:v>Prior public reporting; reviewed 2026-09-03</x:v>
      </x:c>
    </x:row>
    <x:row r="18" ht="70" customHeight="1">
      <x:c r="A18" s="75" t="str">
        <x:v>FL-003</x:v>
      </x:c>
      <x:c r="B18" s="75" t="str">
        <x:v>Active Sale / 74</x:v>
      </x:c>
      <x:c r="C18" s="75" t="str">
        <x:v>California Club Apartments, Miami — $11.0M / 64 apartments</x:v>
      </x:c>
      <x:c r="D18" s="75" t="str">
        <x:v>Known direct listing; exclusive mandate and restriction confirmation are pending.</x:v>
      </x:c>
      <x:c r="E18" s="75" t="str">
        <x:v>No current OM/rent roll or named broker is in the verified file.</x:v>
      </x:c>
      <x:c r="F18" s="75" t="str">
        <x:v>Obtain exclusive mandate, current OM/rent roll, named broker, and restriction confirmation.</x:v>
      </x:c>
      <x:c r="G18" s="75" t="str">
        <x:v>Prior direct listing; reviewed 2026-09-03</x:v>
      </x:c>
    </x:row>
    <x:row r="19" ht="70" customHeight="1">
      <x:c r="A19" s="75" t="str">
        <x:v>FL-001</x:v>
      </x:c>
      <x:c r="B19" s="75" t="str">
        <x:v>Active Sale / 73</x:v>
      </x:c>
      <x:c r="C19" s="75" t="str">
        <x:v>Gables Galiano, Coral Gables — $20.0M / 27 apartments</x:v>
      </x:c>
      <x:c r="D19" s="75" t="str">
        <x:v>Public active status persists.</x:v>
      </x:c>
      <x:c r="E19" s="75" t="str">
        <x:v>Current broker mandate and seller intent are not independently confirmed.</x:v>
      </x:c>
      <x:c r="F19" s="75" t="str">
        <x:v>Obtain current broker mandate, seller intent, and price-flexibility confirmation.</x:v>
      </x:c>
      <x:c r="G19" s="75" t="str">
        <x:v>https://www.compass.com/building/c-gab-douglas-sec-coral-gables-fl/757308186771136541/ | reviewed 2026-09-03</x:v>
      </x:c>
    </x:row>
    <x:row r="20" ht="70" customHeight="1">
      <x:c r="A20" s="75" t="str">
        <x:v>NY-001</x:v>
      </x:c>
      <x:c r="B20" s="75" t="str">
        <x:v>Active Sale / 73</x:v>
      </x:c>
      <x:c r="C20" s="75" t="str">
        <x:v>30-unit multifamily portfolio, NYC</x:v>
      </x:c>
      <x:c r="D20" s="75" t="str">
        <x:v>Need component-building regulatory checks and current pricing/mandate.</x:v>
      </x:c>
      <x:c r="E20" s="75" t="str">
        <x:v>Regulatory status and current process cannot be inferred from prior discovery.</x:v>
      </x:c>
      <x:c r="F20" s="75" t="str">
        <x:v>Obtain current mandate, component-building regulatory checks, and current pricing.</x:v>
      </x:c>
      <x:c r="G20" s="75" t="str">
        <x:v>Prior public listing; reviewed 2026-09-03</x:v>
      </x:c>
    </x:row>
    <x:row r="21" ht="70" customHeight="1">
      <x:c r="A21" s="75" t="str">
        <x:v>LA-009</x:v>
      </x:c>
      <x:c r="B21" s="75" t="str">
        <x:v>Active Sale / 72</x:v>
      </x:c>
      <x:c r="C21" s="75" t="str">
        <x:v>1400 Venice Blvd., Los Angeles — $12.95M / 31 units</x:v>
      </x:c>
      <x:c r="D21" s="75" t="str">
        <x:v>Current offering still lacks a recorded dated exclusive / MLS entry.</x:v>
      </x:c>
      <x:c r="E21" s="75" t="str">
        <x:v>Mandatory listing-date and availability gate is not cleared.</x:v>
      </x:c>
      <x:c r="F21" s="75" t="str">
        <x:v>Obtain dated exclusive or MLS, current availability, and OM.</x:v>
      </x:c>
      <x:c r="G21" s="75" t="str">
        <x:v>Prior public listing; reviewed 2026-09-03</x:v>
      </x:c>
    </x:row>
    <x:row r="22" ht="70" customHeight="1">
      <x:c r="A22" s="75" t="str">
        <x:v>LA-003</x:v>
      </x:c>
      <x:c r="B22" s="75" t="str">
        <x:v>Active Sale / 72</x:v>
      </x:c>
      <x:c r="C22" s="75" t="str">
        <x:v>Nabi Apartments, Los Angeles</x:v>
      </x:c>
      <x:c r="D22" s="75" t="str">
        <x:v>Offering source lacks mandatory listing date and current mandate confirmation.</x:v>
      </x:c>
      <x:c r="E22" s="75" t="str">
        <x:v>Date and current process cannot be inferred.</x:v>
      </x:c>
      <x:c r="F22" s="75" t="str">
        <x:v>Obtain current mandate, dated listing, covenant status, and T-12.</x:v>
      </x:c>
      <x:c r="G22" s="75" t="str">
        <x:v>Prior public listing; reviewed 2026-09-03</x:v>
      </x:c>
    </x:row>
    <x:row r="23" ht="70" customHeight="1">
      <x:c r="A23" s="75" t="str">
        <x:v>LA-008</x:v>
      </x:c>
      <x:c r="B23" s="75" t="str">
        <x:v>Active Sale / 71</x:v>
      </x:c>
      <x:c r="C23" s="75" t="str">
        <x:v>The Cooper Hollywood — $18.195M / 75 units</x:v>
      </x:c>
      <x:c r="D23" s="75" t="str">
        <x:v>Current listing found; RSO status remains unverified.</x:v>
      </x:c>
      <x:c r="E23" s="75" t="str">
        <x:v>Regulatory uncertainty prevents primary-queue promotion.</x:v>
      </x:c>
      <x:c r="F23" s="75" t="str">
        <x:v>Obtain HCIDLA RSO determination and OM rent-regulation disclosure.</x:v>
      </x:c>
      <x:c r="G23" s="75" t="str">
        <x:v>Prior direct listing; reviewed 2026-09-03</x:v>
      </x:c>
    </x:row>
    <x:row r="24" ht="70" customHeight="1">
      <x:c r="A24" s="75" t="str">
        <x:v>FL-006</x:v>
      </x:c>
      <x:c r="B24" s="75" t="str">
        <x:v>Capital Event / 71</x:v>
      </x:c>
      <x:c r="C24" s="75" t="str">
        <x:v>The Genesis Clearwater — 372 units</x:v>
      </x:c>
      <x:c r="D24" s="75" t="str">
        <x:v>Aug. 11 reporting identifies foreclosure without verified complaint, balance, lender/borrower linkage, or restrictions.</x:v>
      </x:c>
      <x:c r="E24" s="75" t="str">
        <x:v>Tier 2 evidence supports monitoring only.</x:v>
      </x:c>
      <x:c r="F24" s="75" t="str">
        <x:v>Pull Pinellas complaint, mortgage/assignment, balance, lender/borrower linkage, restriction evidence, and current deal contact.</x:v>
      </x:c>
      <x:c r="G24" s="75" t="str">
        <x:v>https://www.bizjournals.com/tampabay/news/2026/08/11/genesis-clearwater-apartment-foreclosure.html | 2026-08-11</x:v>
      </x:c>
    </x:row>
    <x:row r="25" ht="70" customHeight="1">
      <x:c r="A25" s="75" t="str">
        <x:v>FL-007</x:v>
      </x:c>
      <x:c r="B25" s="75" t="str">
        <x:v>Active Sale / 70</x:v>
      </x:c>
      <x:c r="C25" s="75" t="str">
        <x:v>650 SW 1st St., Miami — no explicit total ask</x:v>
      </x:c>
      <x:c r="D25" s="75" t="str">
        <x:v>Tier 1 listing is available and states 21 residential units plus one 450-SF retail suite; it publishes $519,048 per residential unit but no total ask.</x:v>
      </x:c>
      <x:c r="E25" s="75" t="str">
        <x:v>Implied value is not an explicit $10M+ asking-price gate; the small retail suite and absence of named sale contact add risk.</x:v>
      </x:c>
      <x:c r="F25" s="75" t="str">
        <x:v>Obtain signed mandate / explicit total ask, rent roll, retail-income share, restriction confirmation, and named broker contact.</x:v>
      </x:c>
      <x:c r="G25" s="75" t="str">
        <x:v>https://www.loopnet.com/Listing/650-SW-1st-St-Miami-FL/41764910/ | listed 2026-08-15; reviewed 2026-09-03</x:v>
      </x:c>
    </x:row>
    <x:row r="26" ht="70" customHeight="1">
      <x:c r="A26" s="75" t="str">
        <x:v>FL-005</x:v>
      </x:c>
      <x:c r="B26" s="75" t="str">
        <x:v>Capital Event / 69</x:v>
      </x:c>
      <x:c r="C26" s="75" t="str">
        <x:v>The Wave Apartments, Tampa — $26M mortgage</x:v>
      </x:c>
      <x:c r="D26" s="75" t="str">
        <x:v>Tier 2 July reporting describes a mortgage default; primary foreclosure record is not in file.</x:v>
      </x:c>
      <x:c r="E26" s="75" t="str">
        <x:v>Lender/borrower linkage, balance, and restriction status remain unverified.</x:v>
      </x:c>
      <x:c r="F26" s="75" t="str">
        <x:v>Pull Hillsborough complaint, mortgage/assignment, lender/borrower linkage, and restriction evidence.</x:v>
      </x:c>
      <x:c r="G26" s="75" t="str">
        <x:v>Prior public reporting; reviewed 2026-09-03</x:v>
      </x:c>
    </x:row>
    <x:row r="27" ht="70" customHeight="1">
      <x:c r="A27" s="75" t="str">
        <x:v>FL-008</x:v>
      </x:c>
      <x:c r="B27" s="75" t="str">
        <x:v>Active Sale / 68</x:v>
      </x:c>
      <x:c r="C27" s="75" t="str">
        <x:v>300 Majorca Ave., Coral Gables — $12.75M / 17 apartments</x:v>
      </x:c>
      <x:c r="D27" s="75" t="str">
        <x:v>Public broker listing identifies a 17-unit rental building, but visible record has no current market date; originally built as condos.</x:v>
      </x:c>
      <x:c r="E27" s="75" t="str">
        <x:v>Mandatory listing-date and rental/covenant gates remain unresolved.</x:v>
      </x:c>
      <x:c r="F27" s="75" t="str">
        <x:v>Obtain current Marcus &amp; Millichap mandate, listing date, rental-vs-condo status, and rent-regulation/covenant confirmation.</x:v>
      </x:c>
      <x:c r="G27" s="75" t="str">
        <x:v>https://www.showcase.com/300-majorca-ave-coral-gables-fl-33134/31157564/ | reviewed 2026-09-03</x:v>
      </x:c>
    </x:row>
    <x:row r="29">
      <x:c r="A29" s="181" t="str">
        <x:v>Exclusions, controls, and coverage gaps</x:v>
      </x:c>
      <x:c r="B29" s="181"/>
      <x:c r="C29" s="181"/>
      <x:c r="D29" s="181"/>
      <x:c r="E29" s="181"/>
      <x:c r="F29" s="181"/>
      <x:c r="G29" s="181"/>
      <x:c r="H29" s="181"/>
      <x:c r="I29" s="181"/>
      <x:c r="J29" s="181"/>
      <x:c r="K29" s="181"/>
      <x:c r="L29" s="181"/>
      <x:c r="M29" s="181"/>
      <x:c r="N29" s="181"/>
      <x:c r="O29" s="181"/>
      <x:c r="P29" s="181"/>
      <x:c r="Q29" s="181"/>
      <x:c r="R29" s="181"/>
      <x:c r="S29" s="181"/>
      <x:c r="T29" s="181"/>
      <x:c r="U29" s="181"/>
    </x:row>
    <x:row r="30">
      <x:c r="A30" s="183" t="str">
        <x:v>Item</x:v>
      </x:c>
      <x:c r="B30" s="183" t="str">
        <x:v>Classification / reason</x:v>
      </x:c>
      <x:c r="C30" s="183" t="str">
        <x:v>Evidence and action</x:v>
      </x:c>
      <x:c r="D30" s="183"/>
      <x:c r="E30" s="183"/>
      <x:c r="F30" s="183"/>
      <x:c r="G30" s="183"/>
      <x:c r="H30" s="183"/>
      <x:c r="I30" s="183"/>
      <x:c r="J30" s="183"/>
      <x:c r="K30" s="183"/>
      <x:c r="L30" s="183"/>
      <x:c r="M30" s="183"/>
      <x:c r="N30" s="183"/>
      <x:c r="O30" s="183"/>
      <x:c r="P30" s="183"/>
      <x:c r="Q30" s="183"/>
      <x:c r="R30" s="183"/>
      <x:c r="S30" s="183"/>
      <x:c r="T30" s="183"/>
      <x:c r="U30" s="183"/>
    </x:row>
    <x:row r="31" ht="62" customHeight="1">
      <x:c r="A31" s="75" t="str">
        <x:v>1020 SW 2nd St., Miami</x:v>
      </x:c>
      <x:c r="B31" s="75" t="str">
        <x:v>Excluded — below $10M gate</x:v>
      </x:c>
      <x:c r="C31" s="75" t="str">
        <x:v>Current Tier 1 listing identifies 20 apartments and $325,000 per unit (about $6.5M implied); it is below the mandate threshold. https://www.loopnet.com/Listing/1020-SW-2nd-St-Miami-FL/41479349/</x:v>
      </x:c>
      <x:c r="D31" s="75"/>
      <x:c r="E31" s="75"/>
      <x:c r="F31" s="75"/>
      <x:c r="G31" s="75"/>
      <x:c r="H31" s="75"/>
      <x:c r="I31" s="75"/>
      <x:c r="J31" s="75"/>
      <x:c r="K31" s="75"/>
      <x:c r="L31" s="75"/>
      <x:c r="M31" s="75"/>
      <x:c r="N31" s="75"/>
      <x:c r="O31" s="75"/>
      <x:c r="P31" s="75"/>
      <x:c r="Q31" s="75"/>
      <x:c r="R31" s="75"/>
      <x:c r="S31" s="75"/>
      <x:c r="T31" s="75"/>
      <x:c r="U31" s="75"/>
    </x:row>
    <x:row r="32" ht="62" customHeight="1">
      <x:c r="A32" s="75" t="str">
        <x:v>PHI-006 — 2328–2344 N. 2nd St., Philadelphia</x:v>
      </x:c>
      <x:c r="B32" s="75" t="str">
        <x:v>Excluded — materially mixed asset / adjacent development parcels</x:v>
      </x:c>
      <x:c r="C32" s="75" t="str">
        <x:v>Current direct listing confirms 33 apartments, but expressly includes 3,750 SF of ground-floor retail across two suites plus four adjacent parcels conditionally approved for townhomes. It does not fit the primary conventional-rental-only queue without specific authorization. https://www.loopnet.com/Listing/2328-2344-N-2nd-St-Philadelphia-PA/41009347/</x:v>
      </x:c>
      <x:c r="D32" s="75"/>
      <x:c r="E32" s="75"/>
      <x:c r="F32" s="75"/>
      <x:c r="G32" s="75"/>
      <x:c r="H32" s="75"/>
      <x:c r="I32" s="75"/>
      <x:c r="J32" s="75"/>
      <x:c r="K32" s="75"/>
      <x:c r="L32" s="75"/>
      <x:c r="M32" s="75"/>
      <x:c r="N32" s="75"/>
      <x:c r="O32" s="75"/>
      <x:c r="P32" s="75"/>
      <x:c r="Q32" s="75"/>
      <x:c r="R32" s="75"/>
      <x:c r="S32" s="75"/>
      <x:c r="T32" s="75"/>
      <x:c r="U32" s="75"/>
    </x:row>
    <x:row r="33" ht="62" customHeight="1">
      <x:c r="A33" s="75" t="str">
        <x:v>2629 NW 17th Ave., Miami</x:v>
      </x:c>
      <x:c r="B33" s="75" t="str">
        <x:v>Excluded — development-first / workforce-housing strategy and stale date</x:v>
      </x:c>
      <x:c r="C33" s="75" t="str">
        <x:v>Current Tier 1 listing says $10.0M / 34 apartments but expressly markets covered-land, high-density, Live Local/workforce-housing potential. https://www.loopnet.com/Listing/2629-NW-17th-Ave-Miami-FL/33827457/</x:v>
      </x:c>
      <x:c r="D33" s="75"/>
      <x:c r="E33" s="75"/>
      <x:c r="F33" s="75"/>
      <x:c r="G33" s="75"/>
      <x:c r="H33" s="75"/>
      <x:c r="I33" s="75"/>
      <x:c r="J33" s="75"/>
      <x:c r="K33" s="75"/>
      <x:c r="L33" s="75"/>
      <x:c r="M33" s="75"/>
      <x:c r="N33" s="75"/>
      <x:c r="O33" s="75"/>
      <x:c r="P33" s="75"/>
      <x:c r="Q33" s="75"/>
      <x:c r="R33" s="75"/>
      <x:c r="S33" s="75"/>
      <x:c r="T33" s="75"/>
      <x:c r="U33" s="75"/>
    </x:row>
    <x:row r="34" ht="62" customHeight="1">
      <x:c r="A34" s="75" t="str">
        <x:v>The Peake, Centennial, Metropolitan Building — Los Angeles</x:v>
      </x:c>
      <x:c r="B34" s="75" t="str">
        <x:v>Excluded — known or unresolved affordable / RSO restrictions</x:v>
      </x:c>
      <x:c r="C34" s="75" t="str">
        <x:v>Retain outside primary unrestricted queue unless the mandate changes and primary regulatory evidence clears status.</x:v>
      </x:c>
      <x:c r="D34" s="75"/>
      <x:c r="E34" s="75"/>
      <x:c r="F34" s="75"/>
      <x:c r="G34" s="75"/>
      <x:c r="H34" s="75"/>
      <x:c r="I34" s="75"/>
      <x:c r="J34" s="75"/>
      <x:c r="K34" s="75"/>
      <x:c r="L34" s="75"/>
      <x:c r="M34" s="75"/>
      <x:c r="N34" s="75"/>
      <x:c r="O34" s="75"/>
      <x:c r="P34" s="75"/>
      <x:c r="Q34" s="75"/>
      <x:c r="R34" s="75"/>
      <x:c r="S34" s="75"/>
      <x:c r="T34" s="75"/>
      <x:c r="U34" s="75"/>
    </x:row>
    <x:row r="35" ht="62" customHeight="1">
      <x:c r="A35" s="75" t="str">
        <x:v>Sunshine and 2629 NW 17th — Miami</x:v>
      </x:c>
      <x:c r="B35" s="75" t="str">
        <x:v>Excluded — development / materially mixed use</x:v>
      </x:c>
      <x:c r="C35" s="75" t="str">
        <x:v>Not conventional rental-multifamily dominant under the mandate.</x:v>
      </x:c>
      <x:c r="D35" s="75"/>
      <x:c r="E35" s="75"/>
      <x:c r="F35" s="75"/>
      <x:c r="G35" s="75"/>
      <x:c r="H35" s="75"/>
      <x:c r="I35" s="75"/>
      <x:c r="J35" s="75"/>
      <x:c r="K35" s="75"/>
      <x:c r="L35" s="75"/>
      <x:c r="M35" s="75"/>
      <x:c r="N35" s="75"/>
      <x:c r="O35" s="75"/>
      <x:c r="P35" s="75"/>
      <x:c r="Q35" s="75"/>
      <x:c r="R35" s="75"/>
      <x:c r="S35" s="75"/>
      <x:c r="T35" s="75"/>
      <x:c r="U35" s="75"/>
    </x:row>
    <x:row r="36" ht="62" customHeight="1">
      <x:c r="A36" s="75" t="str">
        <x:v>Allapattah 23 — Miami</x:v>
      </x:c>
      <x:c r="B36" s="75" t="str">
        <x:v>Excluded — sub-$10M and product mismatch</x:v>
      </x:c>
      <x:c r="C36" s="75" t="str">
        <x:v>Current record is $9.5M and identifies a Multifamily Dormitory subtype.</x:v>
      </x:c>
      <x:c r="D36" s="75"/>
      <x:c r="E36" s="75"/>
      <x:c r="F36" s="75"/>
      <x:c r="G36" s="75"/>
      <x:c r="H36" s="75"/>
      <x:c r="I36" s="75"/>
      <x:c r="J36" s="75"/>
      <x:c r="K36" s="75"/>
      <x:c r="L36" s="75"/>
      <x:c r="M36" s="75"/>
      <x:c r="N36" s="75"/>
      <x:c r="O36" s="75"/>
      <x:c r="P36" s="75"/>
      <x:c r="Q36" s="75"/>
      <x:c r="R36" s="75"/>
      <x:c r="S36" s="75"/>
      <x:c r="T36" s="75"/>
      <x:c r="U36" s="75"/>
    </x:row>
    <x:row r="37" ht="62" customHeight="1">
      <x:c r="A37" s="75" t="str">
        <x:v>Prior Philadelphia student/rent-by-bed candidates</x:v>
      </x:c>
      <x:c r="B37" s="75" t="str">
        <x:v>Excluded — product mismatch</x:v>
      </x:c>
      <x:c r="C37" s="75" t="str">
        <x:v>Do not promote without a conventional lease-structure confirmation.</x:v>
      </x:c>
      <x:c r="D37" s="75"/>
      <x:c r="E37" s="75"/>
      <x:c r="F37" s="75"/>
      <x:c r="G37" s="75"/>
      <x:c r="H37" s="75"/>
      <x:c r="I37" s="75"/>
      <x:c r="J37" s="75"/>
      <x:c r="K37" s="75"/>
      <x:c r="L37" s="75"/>
      <x:c r="M37" s="75"/>
      <x:c r="N37" s="75"/>
      <x:c r="O37" s="75"/>
      <x:c r="P37" s="75"/>
      <x:c r="Q37" s="75"/>
      <x:c r="R37" s="75"/>
      <x:c r="S37" s="75"/>
      <x:c r="T37" s="75"/>
      <x:c r="U37" s="75"/>
    </x:row>
    <x:row r="38" ht="62" customHeight="1">
      <x:c r="A38" s="75" t="str">
        <x:v>Kenmore East — Chicago</x:v>
      </x:c>
      <x:c r="B38" s="75" t="str">
        <x:v>Excluded — current availability unverified</x:v>
      </x:c>
      <x:c r="C38" s="75" t="str">
        <x:v>Direct listing is no longer advertised; require renewed current marketing evidence.</x:v>
      </x:c>
      <x:c r="D38" s="75"/>
      <x:c r="E38" s="75"/>
      <x:c r="F38" s="75"/>
      <x:c r="G38" s="75"/>
      <x:c r="H38" s="75"/>
      <x:c r="I38" s="75"/>
      <x:c r="J38" s="75"/>
      <x:c r="K38" s="75"/>
      <x:c r="L38" s="75"/>
      <x:c r="M38" s="75"/>
      <x:c r="N38" s="75"/>
      <x:c r="O38" s="75"/>
      <x:c r="P38" s="75"/>
      <x:c r="Q38" s="75"/>
      <x:c r="R38" s="75"/>
      <x:c r="S38" s="75"/>
      <x:c r="T38" s="75"/>
      <x:c r="U38" s="75"/>
    </x:row>
    <x:row r="39" ht="62" customHeight="1">
      <x:c r="A39" s="75" t="str">
        <x:v>Coverage limitation</x:v>
      </x:c>
      <x:c r="B39" s="75" t="str">
        <x:v>Gap</x:v>
      </x:c>
      <x:c r="C39" s="75" t="str">
        <x:v>Targeted public-source sweep only, not universal listing coverage of an MSA, Florida, or North Carolina. No newly verified action lead in NYC; named North Carolina MSAs; Orlando, Jacksonville, Fort Myers, Naples, Sarasota, Palm Bay, Lakeland, or Daytona Beach.</x:v>
      </x:c>
      <x:c r="D39" s="75"/>
      <x:c r="E39" s="75"/>
      <x:c r="F39" s="75"/>
      <x:c r="G39" s="75"/>
      <x:c r="H39" s="75"/>
      <x:c r="I39" s="75"/>
      <x:c r="J39" s="75"/>
      <x:c r="K39" s="75"/>
      <x:c r="L39" s="75"/>
      <x:c r="M39" s="75"/>
      <x:c r="N39" s="75"/>
      <x:c r="O39" s="75"/>
      <x:c r="P39" s="75"/>
      <x:c r="Q39" s="75"/>
      <x:c r="R39" s="75"/>
      <x:c r="S39" s="75"/>
      <x:c r="T39" s="75"/>
      <x:c r="U39" s="75"/>
    </x:row>
    <x:row r="40" ht="62" customHeight="1">
      <x:c r="A40" s="75" t="str">
        <x:v>Delivery / outreach control</x:v>
      </x:c>
      <x:c r="B40" s="75" t="str">
        <x:v>Constraint</x:v>
      </x:c>
      <x:c r="C40" s="75" t="str">
        <x:v>No connected Google Sheets session or authenticated email connector was available. This fallback workbook was produced; historical $20M tabs were not touched. No prospect outreach was sent or implied; named lead IDs require explicit per-run approval.</x:v>
      </x:c>
      <x:c r="D40" s="75"/>
      <x:c r="E40" s="75"/>
      <x:c r="F40" s="75"/>
      <x:c r="G40" s="75"/>
      <x:c r="H40" s="75"/>
      <x:c r="I40" s="75"/>
      <x:c r="J40" s="75"/>
      <x:c r="K40" s="75"/>
      <x:c r="L40" s="75"/>
      <x:c r="M40" s="75"/>
      <x:c r="N40" s="75"/>
      <x:c r="O40" s="75"/>
      <x:c r="P40" s="75"/>
      <x:c r="Q40" s="75"/>
      <x:c r="R40" s="75"/>
      <x:c r="S40" s="75"/>
      <x:c r="T40" s="75"/>
      <x:c r="U40" s="75"/>
    </x:row>
  </x:sheetData>
  <x:mergeCells>
    <x:mergeCell ref="A1:U1"/>
    <x:mergeCell ref="A2:U2"/>
    <x:mergeCell ref="A9:U9"/>
    <x:mergeCell ref="A14:G14"/>
    <x:mergeCell ref="A29:U29"/>
    <x:mergeCell ref="C30:U30"/>
    <x:mergeCell ref="C31:U31"/>
    <x:mergeCell ref="C32:U32"/>
    <x:mergeCell ref="C33:U33"/>
    <x:mergeCell ref="C34:U34"/>
    <x:mergeCell ref="C35:U35"/>
    <x:mergeCell ref="C36:U36"/>
    <x:mergeCell ref="C37:U37"/>
    <x:mergeCell ref="C38:U38"/>
    <x:mergeCell ref="C39:U39"/>
    <x:mergeCell ref="C40:U40"/>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8" hidden="0" customWidth="1"/>
    <x:col min="4" max="4" width="34" hidden="0" customWidth="1"/>
    <x:col min="5" max="5" width="9" hidden="0" customWidth="1"/>
    <x:col min="6" max="6" width="31" hidden="0" customWidth="1"/>
    <x:col min="7" max="7" width="42" hidden="0" customWidth="1"/>
    <x:col min="8" max="8" width="34" hidden="0" customWidth="1"/>
    <x:col min="9" max="9" width="35" hidden="0" customWidth="1"/>
    <x:col min="10" max="10" width="8" hidden="0" customWidth="1"/>
    <x:col min="11" max="11" width="8" hidden="0" customWidth="1"/>
    <x:col min="12" max="12" width="8" hidden="0" customWidth="1"/>
    <x:col min="13" max="13" width="10" hidden="0" customWidth="1"/>
    <x:col min="14" max="14" width="10" hidden="0" customWidth="1"/>
    <x:col min="15" max="15" width="9" hidden="0" customWidth="1"/>
    <x:col min="16" max="16" width="9" hidden="0" customWidth="1"/>
    <x:col min="17" max="17" width="43" hidden="0" customWidth="1"/>
    <x:col min="18" max="18" width="32" hidden="0" customWidth="1"/>
    <x:col min="19" max="19" width="34" hidden="0" customWidth="1"/>
  </x:cols>
  <x:sheetData>
    <x:row r="1" ht="30" customHeight="1">
      <x:c r="A1" s="188" t="str">
        <x:v>Light Tower Group — Daily $10M+ Multifamily Sale &amp; Capital Opportunity Engine</x:v>
      </x:c>
      <x:c r="B1" s="188"/>
      <x:c r="C1" s="188"/>
      <x:c r="D1" s="188"/>
      <x:c r="E1" s="188"/>
      <x:c r="F1" s="188"/>
      <x:c r="G1" s="188"/>
      <x:c r="H1" s="188"/>
      <x:c r="I1" s="188"/>
      <x:c r="J1" s="188"/>
      <x:c r="K1" s="188"/>
      <x:c r="L1" s="188"/>
      <x:c r="M1" s="188"/>
      <x:c r="N1" s="188"/>
      <x:c r="O1" s="188"/>
    </x:row>
    <x:row r="2" ht="22" customHeight="1">
      <x:c r="A2" s="191" t="str">
        <x:v>Run date: September 4, 2026 (America/New_York)  |  Report-only  |  Targeted public-source sweep</x:v>
      </x:c>
      <x:c r="B2" s="191"/>
      <x:c r="C2" s="191"/>
      <x:c r="D2" s="191"/>
      <x:c r="E2" s="191"/>
      <x:c r="F2" s="191"/>
      <x:c r="G2" s="191"/>
      <x:c r="H2" s="191"/>
      <x:c r="I2" s="191"/>
      <x:c r="J2" s="191"/>
      <x:c r="K2" s="191"/>
      <x:c r="L2" s="191"/>
      <x:c r="M2" s="191"/>
      <x:c r="N2" s="191"/>
      <x:c r="O2" s="191"/>
    </x:row>
    <x:row r="4">
      <x:c r="A4" s="194" t="str">
        <x:v>Executive readout</x:v>
      </x:c>
      <x:c r="B4" s="194"/>
      <x:c r="C4" s="194"/>
      <x:c r="D4" s="194"/>
      <x:c r="E4" s="194"/>
      <x:c r="F4" s="194"/>
      <x:c r="G4" s="194"/>
      <x:c r="H4" s="194"/>
      <x:c r="I4" s="194"/>
      <x:c r="J4" s="194"/>
      <x:c r="K4" s="194"/>
      <x:c r="L4" s="194"/>
      <x:c r="M4" s="194"/>
      <x:c r="N4" s="194"/>
      <x:c r="O4" s="194"/>
    </x:row>
    <x:row r="5" ht="30" customHeight="1">
      <x:c r="A5" s="208" t="str">
        <x:v>No new qualified lead cleared every hard gate. Two continuing active-sale leads remain in the action queue. Washington Plaza's Tier 1 record was crawled today; 3675 Dunn Drive remains marked currently available on its public Tier 1 listing (the platform snapshot was crawled last week). No prospect outreach was drafted, queued, scheduled, implied, or sent. Coverage is targeted public-source research in the named MSAs only—never universal MSA, Florida, or North Carolina coverage.</x:v>
      </x:c>
      <x:c r="B5" s="209"/>
      <x:c r="C5" s="209"/>
      <x:c r="D5" s="209"/>
      <x:c r="E5" s="209"/>
      <x:c r="F5" s="209"/>
      <x:c r="G5" s="209"/>
      <x:c r="H5" s="209"/>
      <x:c r="I5" s="209"/>
      <x:c r="J5" s="209"/>
      <x:c r="K5" s="209"/>
      <x:c r="L5" s="209"/>
      <x:c r="M5" s="209"/>
      <x:c r="N5" s="209"/>
      <x:c r="O5" s="210"/>
    </x:row>
    <x:row r="6" ht="30" customHeight="1">
      <x:c r="A6" s="211"/>
      <x:c r="B6" s="212"/>
      <x:c r="C6" s="212"/>
      <x:c r="D6" s="212"/>
      <x:c r="E6" s="212"/>
      <x:c r="F6" s="212"/>
      <x:c r="G6" s="212"/>
      <x:c r="H6" s="212"/>
      <x:c r="I6" s="212"/>
      <x:c r="J6" s="212"/>
      <x:c r="K6" s="212"/>
      <x:c r="L6" s="212"/>
      <x:c r="M6" s="212"/>
      <x:c r="N6" s="212"/>
      <x:c r="O6" s="213"/>
    </x:row>
    <x:row r="8">
      <x:c r="A8" s="215" t="str">
        <x:v>Action queue — 85+ priority and 75–84 qualified only</x:v>
      </x:c>
      <x:c r="B8" s="215"/>
      <x:c r="C8" s="215"/>
      <x:c r="D8" s="215"/>
      <x:c r="E8" s="215"/>
      <x:c r="F8" s="215"/>
      <x:c r="G8" s="215"/>
      <x:c r="H8" s="215"/>
      <x:c r="I8" s="215"/>
      <x:c r="J8" s="215"/>
      <x:c r="K8" s="215"/>
      <x:c r="L8" s="215"/>
      <x:c r="M8" s="215"/>
      <x:c r="N8" s="215"/>
      <x:c r="O8" s="215"/>
    </x:row>
    <x:row r="9" ht="34" customHeight="1">
      <x:c r="A9" s="219" t="str">
        <x:v>Lead ID</x:v>
      </x:c>
      <x:c r="B9" s="219" t="str">
        <x:v>Classification</x:v>
      </x:c>
      <x:c r="C9" s="219" t="str">
        <x:v>$10M Gate</x:v>
      </x:c>
      <x:c r="D9" s="219" t="str">
        <x:v>Asset / Address / MSA</x:v>
      </x:c>
      <x:c r="E9" s="219" t="str">
        <x:v>Units</x:v>
      </x:c>
      <x:c r="F9" s="219" t="str">
        <x:v>Owner / Sponsor / Lender / Broker</x:v>
      </x:c>
      <x:c r="G9" s="219" t="str">
        <x:v>Observed facts</x:v>
      </x:c>
      <x:c r="H9" s="219" t="str">
        <x:v>Inference</x:v>
      </x:c>
      <x:c r="I9" s="219" t="str">
        <x:v>Counterargument</x:v>
      </x:c>
      <x:c r="J9" s="219" t="str">
        <x:v>Sale</x:v>
      </x:c>
      <x:c r="K9" s="219" t="str">
        <x:v>Capital</x:v>
      </x:c>
      <x:c r="L9" s="219" t="str">
        <x:v>Fit</x:v>
      </x:c>
      <x:c r="M9" s="219" t="str">
        <x:v>Execution</x:v>
      </x:c>
      <x:c r="N9" s="219" t="str">
        <x:v>Evidence</x:v>
      </x:c>
      <x:c r="O9" s="219" t="str">
        <x:v>Contact</x:v>
      </x:c>
      <x:c r="P9" s="219" t="str">
        <x:v>Score</x:v>
      </x:c>
      <x:c r="Q9" s="219" t="str">
        <x:v>Tier / source / date</x:v>
      </x:c>
      <x:c r="R9" s="219" t="str">
        <x:v>Verified public contact</x:v>
      </x:c>
      <x:c r="S9" s="219" t="str">
        <x:v>Light Tower angle</x:v>
      </x:c>
    </x:row>
    <x:row r="10" ht="96" customHeight="1">
      <x:c r="A10" s="222" t="str">
        <x:v>LA-010</x:v>
      </x:c>
      <x:c r="B10" s="222" t="str">
        <x:v>Active Sale</x:v>
      </x:c>
      <x:c r="C10" s="222" t="str">
        <x:v>$15.95M asking</x:v>
      </x:c>
      <x:c r="D10" s="36" t="str">
        <x:v>3675 Dunn Drive, Los Angeles, CA 90034 | Los Angeles MSA</x:v>
      </x:c>
      <x:c r="E10" s="44" t="n">
        <x:v>18</x:v>
      </x:c>
      <x:c r="F10" s="36" t="str">
        <x:v>KW Commercial | Alex Galuz; owner not independently verified</x:v>
      </x:c>
      <x:c r="G10" s="36" t="str">
        <x:v>Tier 1 listing calls the 2019, Class A, 18-unit apartment property currently available; asking $15.95M; listing date 2026-08-03.</x:v>
      </x:c>
      <x:c r="H10" s="36" t="str">
        <x:v>Fresh conventional marketing supports buyer financing, sale advisory, or senior refinance / recap.</x:v>
      </x:c>
      <x:c r="I10" s="36" t="str">
        <x:v>Confirm current seller authority, rent roll / cap-rate assumptions, and any recorded affordability covenant before engagement.</x:v>
      </x:c>
      <x:c r="J10" s="226" t="n">
        <x:v>35</x:v>
      </x:c>
      <x:c r="K10" s="226" t="n">
        <x:v>0</x:v>
      </x:c>
      <x:c r="L10" s="226" t="n">
        <x:v>15</x:v>
      </x:c>
      <x:c r="M10" s="226" t="n">
        <x:v>9</x:v>
      </x:c>
      <x:c r="N10" s="226" t="n">
        <x:v>15</x:v>
      </x:c>
      <x:c r="O10" s="226" t="n">
        <x:v>5</x:v>
      </x:c>
      <x:c r="P10" s="227" t="n">
        <x:f>SUM(J10:O10)</x:f>
        <x:v>79</x:v>
      </x:c>
      <x:c r="Q10" s="36" t="str">
        <x:v>Tier 1 direct listing | observed 2026-09-04 | https://www.loopnet.com/Listing/3675-Dunn-Dr-Los-Angeles-CA/41534752/</x:v>
      </x:c>
      <x:c r="R10" s="36" t="str">
        <x:v>Alex Galuz, KW Commercial | +1 310-466-0888</x:v>
      </x:c>
      <x:c r="S10" s="36" t="str">
        <x:v>Buyer financing; acquisition-sale advisory; senior refinance / recap</x:v>
      </x:c>
    </x:row>
    <x:row r="11" ht="96" customHeight="1">
      <x:c r="A11" s="222" t="str">
        <x:v>CHI-004</x:v>
      </x:c>
      <x:c r="B11" s="222" t="str">
        <x:v>Active Sale</x:v>
      </x:c>
      <x:c r="C11" s="222" t="str">
        <x:v>$12.0M asking</x:v>
      </x:c>
      <x:c r="D11" s="36" t="str">
        <x:v>Washington Plaza, 5501 W Washington Blvd, Chicago, IL 60644 | Chicago MSA</x:v>
      </x:c>
      <x:c r="E11" s="44" t="n">
        <x:v>172</x:v>
      </x:c>
      <x:c r="F11" s="36" t="str">
        <x:v>33 Realty | Brian Mond and George Benitez; owner not independently verified</x:v>
      </x:c>
      <x:c r="G11" s="36" t="str">
        <x:v>Tier 1 listing is currently available; 172 apartments; $12.0M asking; stated 98% occupancy; listing date 2026-07-22.</x:v>
      </x:c>
      <x:c r="H11" s="36" t="str">
        <x:v>Live marketing supports buyer financing, sale advisory, or value-add refinance / recap.</x:v>
      </x:c>
      <x:c r="I11" s="36" t="str">
        <x:v>Confirm subsidy contracts, deferred maintenance, seller authority, and rent-roll quality before engagement.</x:v>
      </x:c>
      <x:c r="J11" s="226" t="n">
        <x:v>35</x:v>
      </x:c>
      <x:c r="K11" s="226" t="n">
        <x:v>0</x:v>
      </x:c>
      <x:c r="L11" s="226" t="n">
        <x:v>14</x:v>
      </x:c>
      <x:c r="M11" s="226" t="n">
        <x:v>9</x:v>
      </x:c>
      <x:c r="N11" s="226" t="n">
        <x:v>15</x:v>
      </x:c>
      <x:c r="O11" s="226" t="n">
        <x:v>5</x:v>
      </x:c>
      <x:c r="P11" s="227" t="n">
        <x:f>SUM(J11:O11)</x:f>
        <x:v>78</x:v>
      </x:c>
      <x:c r="Q11" s="36" t="str">
        <x:v>Tier 1 direct listing | observed 2026-09-04 | https://www.loopnet.com/Listing/5501-W-Washington-Blvd-Chicago-IL/41395207/</x:v>
      </x:c>
      <x:c r="R11" s="36" t="str">
        <x:v>Brian Mond | +1 773-615-2626; George Benitez | +1 239-443-0768</x:v>
      </x:c>
      <x:c r="S11" s="36" t="str">
        <x:v>Buyer financing; acquisition-sale advisory; senior refinance</x:v>
      </x:c>
    </x:row>
    <x:row r="13">
      <x:c r="A13" s="230" t="str">
        <x:v>Watch — 65–74; not actionable until the precise verification step below is completed</x:v>
      </x:c>
      <x:c r="B13" s="230"/>
      <x:c r="C13" s="230"/>
      <x:c r="D13" s="230"/>
      <x:c r="E13" s="230"/>
      <x:c r="F13" s="230"/>
      <x:c r="G13" s="230"/>
      <x:c r="H13" s="230"/>
      <x:c r="I13" s="230"/>
      <x:c r="J13" s="230"/>
      <x:c r="K13" s="230"/>
      <x:c r="L13" s="230"/>
      <x:c r="M13" s="230"/>
      <x:c r="N13" s="230"/>
      <x:c r="O13" s="230"/>
      <x:c r="P13" s="230"/>
      <x:c r="Q13" s="230"/>
      <x:c r="R13" s="230"/>
      <x:c r="S13" s="230"/>
    </x:row>
    <x:row r="14">
      <x:c r="A14" s="235" t="str">
        <x:v>Lead</x:v>
      </x:c>
      <x:c r="B14" s="235" t="str">
        <x:v>Classification</x:v>
      </x:c>
      <x:c r="C14" s="235" t="str">
        <x:v>Score</x:v>
      </x:c>
      <x:c r="D14" s="235" t="str">
        <x:v>Reason held</x:v>
      </x:c>
      <x:c r="E14" s="235" t="str">
        <x:v>Concrete next verification step</x:v>
      </x:c>
    </x:row>
    <x:row r="15" ht="40" customHeight="1">
      <x:c r="A15" s="36" t="str">
        <x:v>CHI-001 — Drexel Terraces</x:v>
      </x:c>
      <x:c r="B15" s="36" t="str">
        <x:v>Capital Event</x:v>
      </x:c>
      <x:c r="C15" s="239" t="n">
        <x:v>74</x:v>
      </x:c>
      <x:c r="D15" s="36" t="str">
        <x:v>Latest corroborated catalyst is stale.</x:v>
      </x:c>
      <x:c r="E15" s="36" t="str">
        <x:v>Pull current Cook County docket / receiver order; verify servicer, borrower, balance, and sale or workout timetable.</x:v>
      </x:c>
    </x:row>
    <x:row r="16" ht="40" customHeight="1">
      <x:c r="A16" s="36" t="str">
        <x:v>CHI-003 — 4520–26 S. Drexel Blvd.</x:v>
      </x:c>
      <x:c r="B16" s="36" t="str">
        <x:v>Capital Event</x:v>
      </x:c>
      <x:c r="C16" s="239" t="n">
        <x:v>74</x:v>
      </x:c>
      <x:c r="D16" s="36" t="str">
        <x:v>Primary foreclosure record remains unverified.</x:v>
      </x:c>
      <x:c r="E16" s="36" t="str">
        <x:v>Obtain Cook County primary docket and receiver order; then verify servicer and sale timetable.</x:v>
      </x:c>
    </x:row>
    <x:row r="17" ht="40" customHeight="1">
      <x:c r="A17" s="36" t="str">
        <x:v>FL-003 — California Club Apartments</x:v>
      </x:c>
      <x:c r="B17" s="36" t="str">
        <x:v>Watch</x:v>
      </x:c>
      <x:c r="C17" s="239" t="n">
        <x:v>74</x:v>
      </x:c>
      <x:c r="D17" s="36" t="str">
        <x:v>Current mandate and restrictions unverified.</x:v>
      </x:c>
      <x:c r="E17" s="36" t="str">
        <x:v>Obtain exclusive mandate, current OM / rent roll, named broker, and restriction confirmation.</x:v>
      </x:c>
    </x:row>
    <x:row r="18" ht="40" customHeight="1">
      <x:c r="A18" s="36" t="str">
        <x:v>FL-001 — Gables Galiano</x:v>
      </x:c>
      <x:c r="B18" s="36" t="str">
        <x:v>Watch</x:v>
      </x:c>
      <x:c r="C18" s="239" t="n">
        <x:v>73</x:v>
      </x:c>
      <x:c r="D18" s="36" t="str">
        <x:v>Extended marketing; mandate freshness uncertain.</x:v>
      </x:c>
      <x:c r="E18" s="36" t="str">
        <x:v>Obtain current broker mandate, seller intent, and price-flexibility confirmation.</x:v>
      </x:c>
    </x:row>
    <x:row r="19" ht="40" customHeight="1">
      <x:c r="A19" s="36" t="str">
        <x:v>NY-001 — 30-Unit MF Portfolio Sale</x:v>
      </x:c>
      <x:c r="B19" s="36" t="str">
        <x:v>Watch</x:v>
      </x:c>
      <x:c r="C19" s="239" t="n">
        <x:v>73</x:v>
      </x:c>
      <x:c r="D19" s="36" t="str">
        <x:v>Portfolio regulatory status and mandate unverified.</x:v>
      </x:c>
      <x:c r="E19" s="36" t="str">
        <x:v>Obtain current mandate, component-building regulatory checks, and current pricing.</x:v>
      </x:c>
    </x:row>
    <x:row r="20" ht="40" customHeight="1">
      <x:c r="A20" s="36" t="str">
        <x:v>LA-009 — 1400 Venice Blvd.</x:v>
      </x:c>
      <x:c r="B20" s="36" t="str">
        <x:v>Watch</x:v>
      </x:c>
      <x:c r="C20" s="239" t="n">
        <x:v>72</x:v>
      </x:c>
      <x:c r="D20" s="36" t="str">
        <x:v>Mandatory dated listing record absent.</x:v>
      </x:c>
      <x:c r="E20" s="36" t="str">
        <x:v>Obtain a dated exclusive / MLS record, current availability, and OM.</x:v>
      </x:c>
    </x:row>
    <x:row r="21" ht="40" customHeight="1">
      <x:c r="A21" s="36" t="str">
        <x:v>LA-003 — Nabi Apartments</x:v>
      </x:c>
      <x:c r="B21" s="36" t="str">
        <x:v>Watch</x:v>
      </x:c>
      <x:c r="C21" s="239" t="n">
        <x:v>72</x:v>
      </x:c>
      <x:c r="D21" s="36" t="str">
        <x:v>Listing date and covenant status unresolved.</x:v>
      </x:c>
      <x:c r="E21" s="36" t="str">
        <x:v>Obtain current mandate, dated listing, covenant status, and T-12.</x:v>
      </x:c>
    </x:row>
    <x:row r="22" ht="40" customHeight="1">
      <x:c r="A22" s="36" t="str">
        <x:v>LA-008 — The Cooper Hollywood</x:v>
      </x:c>
      <x:c r="B22" s="36" t="str">
        <x:v>Watch</x:v>
      </x:c>
      <x:c r="C22" s="239" t="n">
        <x:v>71</x:v>
      </x:c>
      <x:c r="D22" s="36" t="str">
        <x:v>RSO status unresolved.</x:v>
      </x:c>
      <x:c r="E22" s="36" t="str">
        <x:v>Obtain HCIDLA RSO determination and OM rent-regulation disclosure.</x:v>
      </x:c>
    </x:row>
    <x:row r="23" ht="40" customHeight="1">
      <x:c r="A23" s="36" t="str">
        <x:v>FL-006 — The Genesis Clearwater</x:v>
      </x:c>
      <x:c r="B23" s="36" t="str">
        <x:v>Capital Event</x:v>
      </x:c>
      <x:c r="C23" s="239" t="n">
        <x:v>71</x:v>
      </x:c>
      <x:c r="D23" s="36" t="str">
        <x:v>Foreclosure report lacks primary debt / lien evidence.</x:v>
      </x:c>
      <x:c r="E23" s="36" t="str">
        <x:v>Pull Pinellas complaint, mortgage / assignment, balance, lender-borrower linkage, restriction evidence, and current deal contact.</x:v>
      </x:c>
    </x:row>
    <x:row r="24" ht="40" customHeight="1">
      <x:c r="A24" s="36" t="str">
        <x:v>FL-007 — 650 SW 1st St., Miami</x:v>
      </x:c>
      <x:c r="B24" s="36" t="str">
        <x:v>Watch</x:v>
      </x:c>
      <x:c r="C24" s="239" t="n">
        <x:v>70</x:v>
      </x:c>
      <x:c r="D24" s="36" t="str">
        <x:v>Mixed-use / price gate unresolved.</x:v>
      </x:c>
      <x:c r="E24" s="36" t="str">
        <x:v>Obtain signed sale mandate with explicit total ask, rent roll, retail-income share, restriction confirmation, and named broker contact.</x:v>
      </x:c>
    </x:row>
    <x:row r="25" ht="40" customHeight="1">
      <x:c r="A25" s="36" t="str">
        <x:v>FL-005 — The Wave Apartments, Tampa</x:v>
      </x:c>
      <x:c r="B25" s="36" t="str">
        <x:v>Capital Event</x:v>
      </x:c>
      <x:c r="C25" s="239" t="n">
        <x:v>69</x:v>
      </x:c>
      <x:c r="D25" s="36" t="str">
        <x:v>Default reporting lacks primary record.</x:v>
      </x:c>
      <x:c r="E25" s="36" t="str">
        <x:v>Pull Hillsborough complaint, mortgage / assignment, lender-borrower linkage, and restriction evidence.</x:v>
      </x:c>
    </x:row>
    <x:row r="26" ht="40" customHeight="1">
      <x:c r="A26" s="36" t="str">
        <x:v>FL-008 — 300 Majorca Ave., Coral Gables</x:v>
      </x:c>
      <x:c r="B26" s="36" t="str">
        <x:v>Watch</x:v>
      </x:c>
      <x:c r="C26" s="239" t="n">
        <x:v>68</x:v>
      </x:c>
      <x:c r="D26" s="36" t="str">
        <x:v>Market date, rental status, and covenants unresolved.</x:v>
      </x:c>
      <x:c r="E26" s="36" t="str">
        <x:v>Obtain current mandate, listing date, rental-versus-condo status, and covenant confirmation.</x:v>
      </x:c>
    </x:row>
    <x:row r="28">
      <x:c r="A28" s="242" t="str">
        <x:v>Exclusions and coverage gaps</x:v>
      </x:c>
      <x:c r="B28" s="242"/>
      <x:c r="C28" s="242"/>
      <x:c r="D28" s="242"/>
      <x:c r="E28" s="242"/>
      <x:c r="F28" s="242"/>
      <x:c r="G28" s="242"/>
      <x:c r="H28" s="242"/>
      <x:c r="I28" s="242"/>
      <x:c r="J28" s="242"/>
      <x:c r="K28" s="242"/>
      <x:c r="L28" s="242"/>
      <x:c r="M28" s="242"/>
      <x:c r="N28" s="242"/>
      <x:c r="O28" s="242"/>
      <x:c r="P28" s="242"/>
      <x:c r="Q28" s="242"/>
      <x:c r="R28" s="242"/>
      <x:c r="S28" s="242"/>
    </x:row>
    <x:row r="29">
      <x:c r="A29" s="247" t="str">
        <x:v>Item</x:v>
      </x:c>
      <x:c r="B29" s="247" t="str">
        <x:v>Classification</x:v>
      </x:c>
      <x:c r="C29" s="247" t="str">
        <x:v>Reason</x:v>
      </x:c>
      <x:c r="D29" s="247" t="str">
        <x:v>Source / coverage note</x:v>
      </x:c>
    </x:row>
    <x:row r="30" ht="54" customHeight="1">
      <x:c r="A30" s="248" t="str">
        <x:v>1020 SW 2nd St., Miami</x:v>
      </x:c>
      <x:c r="B30" s="248" t="str">
        <x:v>Excluded</x:v>
      </x:c>
      <x:c r="C30" s="36" t="str">
        <x:v>20 apartments at $325,000/unit imply about $6.5M—below the $10M gate.</x:v>
      </x:c>
      <x:c r="D30" s="36" t="str">
        <x:v>Tier 1 direct listing | 2026-07-29 market date | https://www.loopnet.com/Listing/1020-SW-2nd-St-Miami-FL/41479349/</x:v>
      </x:c>
    </x:row>
    <x:row r="31" ht="54" customHeight="1">
      <x:c r="A31" s="248" t="str">
        <x:v>PHI-006 — 2328–2344 N. 2nd St.</x:v>
      </x:c>
      <x:c r="B31" s="248" t="str">
        <x:v>Excluded</x:v>
      </x:c>
      <x:c r="C31" s="36" t="str">
        <x:v>33 apartments plus 3,750 SF retail and four townhome-approved parcels: materially mixed / development-inclusive.</x:v>
      </x:c>
      <x:c r="D31" s="36" t="str">
        <x:v>Tier 1 direct listing | https://www.loopnet.com/Listing/2328-2344-N-2nd-St-Philadelphia-PA/41009347/</x:v>
      </x:c>
    </x:row>
    <x:row r="32" ht="54" customHeight="1">
      <x:c r="A32" s="248" t="str">
        <x:v>Retained legacy exclusions</x:v>
      </x:c>
      <x:c r="B32" s="248" t="str">
        <x:v>Excluded</x:v>
      </x:c>
      <x:c r="C32" s="36" t="str">
        <x:v>Development / mixed-use: 2629 NW 17th and Sunshine (Miami); RSO / affordable or un-cleared covenant: The Peake, Centennial, Metropolitan Building; student / rent-by-bed Philadelphia items; stale or no-longer-advertised Kenmore East.</x:v>
      </x:c>
      <x:c r="D32" s="36" t="str">
        <x:v>Retained from prior verified screenings; do not promote without new primary evidence.</x:v>
      </x:c>
    </x:row>
    <x:row r="33" ht="54" customHeight="1">
      <x:c r="A33" s="248" t="str">
        <x:v>Coverage gaps</x:v>
      </x:c>
      <x:c r="B33" s="248" t="str">
        <x:v>Coverage limitation</x:v>
      </x:c>
      <x:c r="C33" s="36" t="str">
        <x:v>No newly verified $10M+ action lead in NYC; named North Carolina MSAs; Orlando, Jacksonville, Fort Myers, Naples, Sarasota, Palm Bay, Lakeland, or Daytona Beach.</x:v>
      </x:c>
      <x:c r="D33" s="36" t="str">
        <x:v>A targeted public-source sweep only; absence from this report is not evidence that an eligible property does not exist.</x:v>
      </x:c>
    </x:row>
    <x:row r="35" ht="28" customHeight="1">
      <x:c r="A35" s="256" t="str">
        <x:v>Controls: No outreach was drafted, queued, scheduled, implied, or sent. Outreach requires the user's explicit approval of named lead IDs for this specific run. Historical $20M tabs were not modified.</x:v>
      </x:c>
      <x:c r="B35" s="257"/>
      <x:c r="C35" s="257"/>
      <x:c r="D35" s="257"/>
      <x:c r="E35" s="257"/>
      <x:c r="F35" s="257"/>
      <x:c r="G35" s="257"/>
      <x:c r="H35" s="257"/>
      <x:c r="I35" s="257"/>
      <x:c r="J35" s="257"/>
      <x:c r="K35" s="257"/>
      <x:c r="L35" s="257"/>
      <x:c r="M35" s="257"/>
      <x:c r="N35" s="257"/>
      <x:c r="O35" s="257"/>
      <x:c r="P35" s="257"/>
      <x:c r="Q35" s="257"/>
      <x:c r="R35" s="257"/>
      <x:c r="S35" s="258"/>
    </x:row>
  </x:sheetData>
  <x:mergeCells>
    <x:mergeCell ref="A1:O1"/>
    <x:mergeCell ref="A2:O2"/>
    <x:mergeCell ref="A4:O4"/>
    <x:mergeCell ref="A5:O6"/>
    <x:mergeCell ref="A8:O8"/>
    <x:mergeCell ref="A13:S13"/>
    <x:mergeCell ref="A28:S28"/>
    <x:mergeCell ref="A35:S35"/>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18" hidden="0" customWidth="1"/>
    <x:col min="4" max="4" width="34" hidden="0" customWidth="1"/>
    <x:col min="5" max="5" width="9" hidden="0" customWidth="1"/>
    <x:col min="6" max="6" width="31" hidden="0" customWidth="1"/>
    <x:col min="7" max="7" width="42" hidden="0" customWidth="1"/>
    <x:col min="8" max="8" width="34" hidden="0" customWidth="1"/>
    <x:col min="9" max="9" width="35" hidden="0" customWidth="1"/>
    <x:col min="10" max="10" width="8" hidden="0" customWidth="1"/>
    <x:col min="11" max="11" width="8" hidden="0" customWidth="1"/>
    <x:col min="12" max="12" width="8" hidden="0" customWidth="1"/>
    <x:col min="13" max="13" width="10" hidden="0" customWidth="1"/>
    <x:col min="14" max="14" width="10" hidden="0" customWidth="1"/>
    <x:col min="15" max="15" width="9" hidden="0" customWidth="1"/>
    <x:col min="16" max="16" width="9" hidden="0" customWidth="1"/>
    <x:col min="17" max="17" width="43" hidden="0" customWidth="1"/>
    <x:col min="18" max="18" width="34" hidden="0" customWidth="1"/>
    <x:col min="19" max="19" width="34" hidden="0" customWidth="1"/>
  </x:cols>
  <x:sheetData>
    <x:row r="1" ht="30" customHeight="1">
      <x:c r="A1" s="261" t="str">
        <x:v>Light Tower Group — Daily $10M+ Multifamily Sale &amp; Capital Opportunity Engine</x:v>
      </x:c>
      <x:c r="B1" s="261"/>
      <x:c r="C1" s="261"/>
      <x:c r="D1" s="261"/>
      <x:c r="E1" s="261"/>
      <x:c r="F1" s="261"/>
      <x:c r="G1" s="261"/>
      <x:c r="H1" s="261"/>
      <x:c r="I1" s="261"/>
      <x:c r="J1" s="261"/>
      <x:c r="K1" s="261"/>
      <x:c r="L1" s="261"/>
      <x:c r="M1" s="261"/>
      <x:c r="N1" s="261"/>
      <x:c r="O1" s="261"/>
      <x:c r="P1" s="261"/>
      <x:c r="Q1" s="261"/>
      <x:c r="R1" s="261"/>
      <x:c r="S1" s="261"/>
    </x:row>
    <x:row r="2" ht="22" customHeight="1">
      <x:c r="A2" s="264" t="str">
        <x:v>Run date: September 5, 2026 (America/New_York)  |  Report-only  |  Targeted public-source sweep</x:v>
      </x:c>
      <x:c r="B2" s="264"/>
      <x:c r="C2" s="264"/>
      <x:c r="D2" s="264"/>
      <x:c r="E2" s="264"/>
      <x:c r="F2" s="264"/>
      <x:c r="G2" s="264"/>
      <x:c r="H2" s="264"/>
      <x:c r="I2" s="264"/>
      <x:c r="J2" s="264"/>
      <x:c r="K2" s="264"/>
      <x:c r="L2" s="264"/>
      <x:c r="M2" s="264"/>
      <x:c r="N2" s="264"/>
      <x:c r="O2" s="264"/>
      <x:c r="P2" s="264"/>
      <x:c r="Q2" s="264"/>
      <x:c r="R2" s="264"/>
      <x:c r="S2" s="264"/>
    </x:row>
    <x:row r="4">
      <x:c r="A4" s="267" t="str">
        <x:v>Executive readout</x:v>
      </x:c>
      <x:c r="B4" s="267"/>
      <x:c r="C4" s="267"/>
      <x:c r="D4" s="267"/>
      <x:c r="E4" s="267"/>
      <x:c r="F4" s="267"/>
      <x:c r="G4" s="267"/>
      <x:c r="H4" s="267"/>
      <x:c r="I4" s="267"/>
      <x:c r="J4" s="267"/>
      <x:c r="K4" s="267"/>
      <x:c r="L4" s="267"/>
      <x:c r="M4" s="267"/>
      <x:c r="N4" s="267"/>
      <x:c r="O4" s="267"/>
      <x:c r="P4" s="267"/>
      <x:c r="Q4" s="267"/>
      <x:c r="R4" s="267"/>
      <x:c r="S4" s="267"/>
    </x:row>
    <x:row r="5" ht="30" customHeight="1">
      <x:c r="A5" s="281" t="str">
        <x:v>Two newly verified Los Angeles MSA active-sale leads cleared every hard gate: LA-011 Park.1915 ($18.0M / 36 units) and LA-012 The Palms ($14.95M / 48 units). Continuing LA-010 3675 Dunn Drive and CHI-004 Washington Plaza remain available. Nabi now has a dated live listing but remains Watch because a project-level affordability/covenant check is still required. No prospect outreach was drafted, queued, scheduled, implied, or sent. Coverage is targeted public-source research in named MSAs only—never universal coverage.</x:v>
      </x:c>
      <x:c r="B5" s="282"/>
      <x:c r="C5" s="282"/>
      <x:c r="D5" s="282"/>
      <x:c r="E5" s="282"/>
      <x:c r="F5" s="282"/>
      <x:c r="G5" s="282"/>
      <x:c r="H5" s="282"/>
      <x:c r="I5" s="282"/>
      <x:c r="J5" s="282"/>
      <x:c r="K5" s="282"/>
      <x:c r="L5" s="282"/>
      <x:c r="M5" s="282"/>
      <x:c r="N5" s="282"/>
      <x:c r="O5" s="282"/>
      <x:c r="P5" s="282"/>
      <x:c r="Q5" s="282"/>
      <x:c r="R5" s="282"/>
      <x:c r="S5" s="283"/>
    </x:row>
    <x:row r="6" ht="30" customHeight="1">
      <x:c r="A6" s="284"/>
      <x:c r="B6" s="285"/>
      <x:c r="C6" s="285"/>
      <x:c r="D6" s="285"/>
      <x:c r="E6" s="285"/>
      <x:c r="F6" s="285"/>
      <x:c r="G6" s="285"/>
      <x:c r="H6" s="285"/>
      <x:c r="I6" s="285"/>
      <x:c r="J6" s="285"/>
      <x:c r="K6" s="285"/>
      <x:c r="L6" s="285"/>
      <x:c r="M6" s="285"/>
      <x:c r="N6" s="285"/>
      <x:c r="O6" s="285"/>
      <x:c r="P6" s="285"/>
      <x:c r="Q6" s="285"/>
      <x:c r="R6" s="285"/>
      <x:c r="S6" s="286"/>
    </x:row>
    <x:row r="8">
      <x:c r="A8" s="288" t="str">
        <x:v>Action queue — 85+ priority and 75–84 qualified only</x:v>
      </x:c>
      <x:c r="B8" s="288"/>
      <x:c r="C8" s="288"/>
      <x:c r="D8" s="288"/>
      <x:c r="E8" s="288"/>
      <x:c r="F8" s="288"/>
      <x:c r="G8" s="288"/>
      <x:c r="H8" s="288"/>
      <x:c r="I8" s="288"/>
      <x:c r="J8" s="288"/>
      <x:c r="K8" s="288"/>
      <x:c r="L8" s="288"/>
      <x:c r="M8" s="288"/>
      <x:c r="N8" s="288"/>
      <x:c r="O8" s="288"/>
      <x:c r="P8" s="288"/>
      <x:c r="Q8" s="288"/>
      <x:c r="R8" s="288"/>
      <x:c r="S8" s="288"/>
    </x:row>
    <x:row r="9" ht="34" customHeight="1">
      <x:c r="A9" s="292" t="str">
        <x:v>Lead ID</x:v>
      </x:c>
      <x:c r="B9" s="292" t="str">
        <x:v>Classification</x:v>
      </x:c>
      <x:c r="C9" s="292" t="str">
        <x:v>$10M Gate</x:v>
      </x:c>
      <x:c r="D9" s="292" t="str">
        <x:v>Asset / Address / MSA</x:v>
      </x:c>
      <x:c r="E9" s="292" t="str">
        <x:v>Units</x:v>
      </x:c>
      <x:c r="F9" s="292" t="str">
        <x:v>Owner / Sponsor / Lender / Broker</x:v>
      </x:c>
      <x:c r="G9" s="292" t="str">
        <x:v>Observed facts</x:v>
      </x:c>
      <x:c r="H9" s="292" t="str">
        <x:v>Inference</x:v>
      </x:c>
      <x:c r="I9" s="292" t="str">
        <x:v>Counterargument</x:v>
      </x:c>
      <x:c r="J9" s="292" t="str">
        <x:v>Sale</x:v>
      </x:c>
      <x:c r="K9" s="292" t="str">
        <x:v>Capital</x:v>
      </x:c>
      <x:c r="L9" s="292" t="str">
        <x:v>Fit</x:v>
      </x:c>
      <x:c r="M9" s="292" t="str">
        <x:v>Execution</x:v>
      </x:c>
      <x:c r="N9" s="292" t="str">
        <x:v>Evidence</x:v>
      </x:c>
      <x:c r="O9" s="292" t="str">
        <x:v>Contact</x:v>
      </x:c>
      <x:c r="P9" s="292" t="str">
        <x:v>Score</x:v>
      </x:c>
      <x:c r="Q9" s="292" t="str">
        <x:v>Tier / source / date</x:v>
      </x:c>
      <x:c r="R9" s="292" t="str">
        <x:v>Verified public contact</x:v>
      </x:c>
      <x:c r="S9" s="292" t="str">
        <x:v>Light Tower angle</x:v>
      </x:c>
    </x:row>
    <x:row r="10" ht="96" customHeight="1">
      <x:c r="A10" s="293" t="str">
        <x:v>LA-011</x:v>
      </x:c>
      <x:c r="B10" s="293" t="str">
        <x:v>Active Sale</x:v>
      </x:c>
      <x:c r="C10" s="293" t="str">
        <x:v>$18.0M asking</x:v>
      </x:c>
      <x:c r="D10" s="36" t="str">
        <x:v>Park.1915, 1915 Park Ave, Los Angeles, CA 90026 | Los Angeles MSA</x:v>
      </x:c>
      <x:c r="E10" s="44" t="n">
        <x:v>36</x:v>
      </x:c>
      <x:c r="F10" s="36" t="str">
        <x:v>Marcus &amp; Millichap | Neema Ahadian, Jeffrey Estrada; owner/sponsor (CIM) not independently verified</x:v>
      </x:c>
      <x:c r="G10" s="36" t="str">
        <x:v>New Tier 1 exclusive listing: 36-unit conventional apartment asset completed 2025; $18.0M ask; 4.52% cap rate; live listing date 2026-08-17.</x:v>
      </x:c>
      <x:c r="H10" s="36" t="str">
        <x:v>Fresh conventional marketing supports acquisition-sale advisory, buyer financing, senior refinance or recapitalization.</x:v>
      </x:c>
      <x:c r="I10" s="36" t="str">
        <x:v>Confirm rent roll, seller authority, occupancy, and any project-level affordability covenant before engagement.</x:v>
      </x:c>
      <x:c r="J10" s="226" t="n">
        <x:v>35</x:v>
      </x:c>
      <x:c r="K10" s="226" t="n">
        <x:v>0</x:v>
      </x:c>
      <x:c r="L10" s="226" t="n">
        <x:v>15</x:v>
      </x:c>
      <x:c r="M10" s="226" t="n">
        <x:v>9</x:v>
      </x:c>
      <x:c r="N10" s="226" t="n">
        <x:v>15</x:v>
      </x:c>
      <x:c r="O10" s="226" t="n">
        <x:v>5</x:v>
      </x:c>
      <x:c r="P10" s="297" t="n">
        <x:f>SUM(J10:O10)</x:f>
        <x:v>79</x:v>
      </x:c>
      <x:c r="Q10" s="36" t="str">
        <x:v>Tier 1 M&amp;M exclusive + Tier 1 LoopNet | 2026-09-05 / listed 2026-08-17 | https://www.marcusmillichap.com/properties/304677/park1915</x:v>
      </x:c>
      <x:c r="R10" s="36" t="str">
        <x:v>Neema Ahadian | (310) 909-5444; Jeffrey Estrada | (310) 909-5423</x:v>
      </x:c>
      <x:c r="S10" s="36" t="str">
        <x:v>Buyer financing; acquisition-sale advisory; senior refinance / recap</x:v>
      </x:c>
    </x:row>
    <x:row r="11" ht="96" customHeight="1">
      <x:c r="A11" s="293" t="str">
        <x:v>LA-012</x:v>
      </x:c>
      <x:c r="B11" s="293" t="str">
        <x:v>Active Sale</x:v>
      </x:c>
      <x:c r="C11" s="293" t="str">
        <x:v>$14.95M asking</x:v>
      </x:c>
      <x:c r="D11" s="36" t="str">
        <x:v>The Palms, 3929 W 242nd St, Torrance, CA 90505 | Los Angeles MSA</x:v>
      </x:c>
      <x:c r="E11" s="44" t="n">
        <x:v>48</x:v>
      </x:c>
      <x:c r="F11" s="36" t="str">
        <x:v>Marcus &amp; Millichap | Tyler Leeson; owner not independently verified</x:v>
      </x:c>
      <x:c r="G11" s="36" t="str">
        <x:v>New Tier 1 exclusive listing: 48-unit conventional garden apartment asset built 1961; $14.95M ask; 5.36% cap; MLS listed 2026-08-17 and repriced 2026-08-24.</x:v>
      </x:c>
      <x:c r="H11" s="36" t="str">
        <x:v>Fresh, price-adjusted marketing supports acquisition-sale advisory, buyer financing, senior refinance or recapitalization.</x:v>
      </x:c>
      <x:c r="I11" s="36" t="str">
        <x:v>City source indicates no permanent local RSO, but confirm state-law applicability, project covenants, rent roll, seller authority, and renovation claims before engagement.</x:v>
      </x:c>
      <x:c r="J11" s="226" t="n">
        <x:v>35</x:v>
      </x:c>
      <x:c r="K11" s="226" t="n">
        <x:v>0</x:v>
      </x:c>
      <x:c r="L11" s="226" t="n">
        <x:v>13</x:v>
      </x:c>
      <x:c r="M11" s="226" t="n">
        <x:v>9</x:v>
      </x:c>
      <x:c r="N11" s="226" t="n">
        <x:v>15</x:v>
      </x:c>
      <x:c r="O11" s="226" t="n">
        <x:v>5</x:v>
      </x:c>
      <x:c r="P11" s="297" t="n">
        <x:f>SUM(J11:O11)</x:f>
        <x:v>77</x:v>
      </x:c>
      <x:c r="Q11" s="36" t="str">
        <x:v>Tier 1 M&amp;M exclusive + MLS corroboration | 2026-09-05 | https://www.marcusmillichap.com/properties/308515/the-palms</x:v>
      </x:c>
      <x:c r="R11" s="36" t="str">
        <x:v>Tyler Leeson | (949) 419-3326 | tleeson@marcusmillichap.com</x:v>
      </x:c>
      <x:c r="S11" s="36" t="str">
        <x:v>Buyer financing; acquisition-sale advisory; value-add senior refinance / recap</x:v>
      </x:c>
    </x:row>
    <x:row r="12" ht="96" customHeight="1">
      <x:c r="A12" s="293" t="str">
        <x:v>LA-010</x:v>
      </x:c>
      <x:c r="B12" s="293" t="str">
        <x:v>Active Sale</x:v>
      </x:c>
      <x:c r="C12" s="293" t="str">
        <x:v>$15.95M asking</x:v>
      </x:c>
      <x:c r="D12" s="36" t="str">
        <x:v>3675 Dunn Drive, Los Angeles, CA 90034 | Los Angeles MSA</x:v>
      </x:c>
      <x:c r="E12" s="44" t="n">
        <x:v>18</x:v>
      </x:c>
      <x:c r="F12" s="36" t="str">
        <x:v>KW Commercial | Alex Galuz; owner not independently verified</x:v>
      </x:c>
      <x:c r="G12" s="36" t="str">
        <x:v>Continuing Tier 1 listing: 2019 Class A, 18-unit apartment property; $15.95M ask; dated 2026-08-03; public listing index remains for-sale.</x:v>
      </x:c>
      <x:c r="H12" s="36" t="str">
        <x:v>Live marketing supports buyer financing, acquisition-sale advisory, or senior refinance / recap.</x:v>
      </x:c>
      <x:c r="I12" s="36" t="str">
        <x:v>Confirm current seller authority, rent roll / cap-rate assumptions, and any recorded affordability covenant before engagement.</x:v>
      </x:c>
      <x:c r="J12" s="226" t="n">
        <x:v>35</x:v>
      </x:c>
      <x:c r="K12" s="226" t="n">
        <x:v>0</x:v>
      </x:c>
      <x:c r="L12" s="226" t="n">
        <x:v>15</x:v>
      </x:c>
      <x:c r="M12" s="226" t="n">
        <x:v>9</x:v>
      </x:c>
      <x:c r="N12" s="226" t="n">
        <x:v>15</x:v>
      </x:c>
      <x:c r="O12" s="226" t="n">
        <x:v>5</x:v>
      </x:c>
      <x:c r="P12" s="297" t="n">
        <x:f>SUM(J12:O12)</x:f>
        <x:v>79</x:v>
      </x:c>
      <x:c r="Q12" s="36" t="str">
        <x:v>Tier 1 direct listing | observed 2026-09-05 | https://www.loopnet.com/Listing/3675-Dunn-Dr-Los-Angeles-CA/41534752/</x:v>
      </x:c>
      <x:c r="R12" s="36" t="str">
        <x:v>Alex Galuz, KW Commercial | +1 310-466-0888</x:v>
      </x:c>
      <x:c r="S12" s="36" t="str">
        <x:v>Buyer financing; acquisition-sale advisory; senior refinance / recap</x:v>
      </x:c>
    </x:row>
    <x:row r="13" ht="96" customHeight="1">
      <x:c r="A13" s="293" t="str">
        <x:v>CHI-004</x:v>
      </x:c>
      <x:c r="B13" s="293" t="str">
        <x:v>Active Sale</x:v>
      </x:c>
      <x:c r="C13" s="293" t="str">
        <x:v>$12.0M asking</x:v>
      </x:c>
      <x:c r="D13" s="36" t="str">
        <x:v>Washington Plaza, 5501 W Washington Blvd, Chicago, IL 60644 | Chicago MSA</x:v>
      </x:c>
      <x:c r="E13" s="44" t="n">
        <x:v>172</x:v>
      </x:c>
      <x:c r="F13" s="36" t="str">
        <x:v>33 Realty | Brian Mond and George Benitez; owner not independently verified</x:v>
      </x:c>
      <x:c r="G13" s="36" t="str">
        <x:v>Continuing Tier 1 listing currently available: 172 apartments; $12.0M ask; 98% stated occupancy; listed 2026-07-22.</x:v>
      </x:c>
      <x:c r="H13" s="36" t="str">
        <x:v>Live marketing supports buyer financing, acquisition-sale advisory, or value-add senior refinance / recap.</x:v>
      </x:c>
      <x:c r="I13" s="36" t="str">
        <x:v>Confirm subsidy contracts, deferred maintenance, seller authority, and rent-roll quality before engagement.</x:v>
      </x:c>
      <x:c r="J13" s="226" t="n">
        <x:v>35</x:v>
      </x:c>
      <x:c r="K13" s="226" t="n">
        <x:v>0</x:v>
      </x:c>
      <x:c r="L13" s="226" t="n">
        <x:v>14</x:v>
      </x:c>
      <x:c r="M13" s="226" t="n">
        <x:v>9</x:v>
      </x:c>
      <x:c r="N13" s="226" t="n">
        <x:v>15</x:v>
      </x:c>
      <x:c r="O13" s="226" t="n">
        <x:v>5</x:v>
      </x:c>
      <x:c r="P13" s="297" t="n">
        <x:f>SUM(J13:O13)</x:f>
        <x:v>78</x:v>
      </x:c>
      <x:c r="Q13" s="36" t="str">
        <x:v>Tier 1 direct listing | observed 2026-09-05 | https://www.loopnet.com/Listing/5501-W-Washington-Blvd-Chicago-IL/41395207/</x:v>
      </x:c>
      <x:c r="R13" s="36" t="str">
        <x:v>Brian Mond | +1 773-615-2626; George Benitez | +1 239-443-0768</x:v>
      </x:c>
      <x:c r="S13" s="36" t="str">
        <x:v>Buyer financing; acquisition-sale advisory; senior refinance</x:v>
      </x:c>
    </x:row>
    <x:row r="15">
      <x:c r="A15" s="300" t="str">
        <x:v>Watch — 65–74; not actionable until the precise verification step below is completed</x:v>
      </x:c>
      <x:c r="B15" s="300"/>
      <x:c r="C15" s="300"/>
      <x:c r="D15" s="300"/>
      <x:c r="E15" s="300"/>
      <x:c r="F15" s="300"/>
      <x:c r="G15" s="300"/>
      <x:c r="H15" s="300"/>
      <x:c r="I15" s="300"/>
      <x:c r="J15" s="300"/>
      <x:c r="K15" s="300"/>
      <x:c r="L15" s="300"/>
      <x:c r="M15" s="300"/>
      <x:c r="N15" s="300"/>
      <x:c r="O15" s="300"/>
      <x:c r="P15" s="300"/>
      <x:c r="Q15" s="300"/>
      <x:c r="R15" s="300"/>
      <x:c r="S15" s="300"/>
    </x:row>
    <x:row r="16">
      <x:c r="A16" s="305" t="str">
        <x:v>Lead</x:v>
      </x:c>
      <x:c r="B16" s="305" t="str">
        <x:v>Classification</x:v>
      </x:c>
      <x:c r="C16" s="305" t="str">
        <x:v>Score</x:v>
      </x:c>
      <x:c r="D16" s="305" t="str">
        <x:v>Reason held</x:v>
      </x:c>
      <x:c r="E16" s="305" t="str">
        <x:v>Concrete next verification step</x:v>
      </x:c>
    </x:row>
    <x:row r="17" ht="42" customHeight="1">
      <x:c r="A17" s="36" t="str">
        <x:v>CHI-001 — Drexel Terraces</x:v>
      </x:c>
      <x:c r="B17" s="36" t="str">
        <x:v>Capital Event</x:v>
      </x:c>
      <x:c r="C17" s="309" t="n">
        <x:v>74</x:v>
      </x:c>
      <x:c r="D17" s="36" t="str">
        <x:v>Latest corroborated catalyst is stale.</x:v>
      </x:c>
      <x:c r="E17" s="36" t="str">
        <x:v>Pull current Cook County docket / receiver order; verify servicer, borrower, balance, and sale or workout timetable.</x:v>
      </x:c>
    </x:row>
    <x:row r="18" ht="42" customHeight="1">
      <x:c r="A18" s="36" t="str">
        <x:v>CHI-003 — 4520–26 S. Drexel Blvd.</x:v>
      </x:c>
      <x:c r="B18" s="36" t="str">
        <x:v>Capital Event</x:v>
      </x:c>
      <x:c r="C18" s="309" t="n">
        <x:v>74</x:v>
      </x:c>
      <x:c r="D18" s="36" t="str">
        <x:v>Primary foreclosure record remains unverified.</x:v>
      </x:c>
      <x:c r="E18" s="36" t="str">
        <x:v>Obtain Cook County primary docket and receiver order; then verify servicer and sale timetable.</x:v>
      </x:c>
    </x:row>
    <x:row r="19" ht="42" customHeight="1">
      <x:c r="A19" s="36" t="str">
        <x:v>FL-003 — California Club Apartments</x:v>
      </x:c>
      <x:c r="B19" s="36" t="str">
        <x:v>Watch</x:v>
      </x:c>
      <x:c r="C19" s="309" t="n">
        <x:v>74</x:v>
      </x:c>
      <x:c r="D19" s="36" t="str">
        <x:v>Current mandate and restrictions unverified.</x:v>
      </x:c>
      <x:c r="E19" s="36" t="str">
        <x:v>Obtain exclusive mandate, current OM / rent roll, named broker, and restriction confirmation.</x:v>
      </x:c>
    </x:row>
    <x:row r="20" ht="42" customHeight="1">
      <x:c r="A20" s="36" t="str">
        <x:v>FL-001 — Gables Galiano</x:v>
      </x:c>
      <x:c r="B20" s="36" t="str">
        <x:v>Watch</x:v>
      </x:c>
      <x:c r="C20" s="309" t="n">
        <x:v>73</x:v>
      </x:c>
      <x:c r="D20" s="36" t="str">
        <x:v>Extended marketing; mandate freshness uncertain.</x:v>
      </x:c>
      <x:c r="E20" s="36" t="str">
        <x:v>Obtain current broker mandate, seller intent, and price-flexibility confirmation.</x:v>
      </x:c>
    </x:row>
    <x:row r="21" ht="42" customHeight="1">
      <x:c r="A21" s="36" t="str">
        <x:v>NY-001 — 30-Unit MF Portfolio Sale</x:v>
      </x:c>
      <x:c r="B21" s="36" t="str">
        <x:v>Watch</x:v>
      </x:c>
      <x:c r="C21" s="309" t="n">
        <x:v>73</x:v>
      </x:c>
      <x:c r="D21" s="36" t="str">
        <x:v>Portfolio regulatory status and mandate unverified.</x:v>
      </x:c>
      <x:c r="E21" s="36" t="str">
        <x:v>Obtain current mandate, component-building regulatory checks, and current pricing.</x:v>
      </x:c>
    </x:row>
    <x:row r="22" ht="42" customHeight="1">
      <x:c r="A22" s="36" t="str">
        <x:v>LA-009 — 1400 Venice Blvd.</x:v>
      </x:c>
      <x:c r="B22" s="36" t="str">
        <x:v>Watch</x:v>
      </x:c>
      <x:c r="C22" s="309" t="n">
        <x:v>72</x:v>
      </x:c>
      <x:c r="D22" s="36" t="str">
        <x:v>Mandatory dated listing record absent.</x:v>
      </x:c>
      <x:c r="E22" s="36" t="str">
        <x:v>Obtain a dated exclusive / MLS record, current availability, and OM.</x:v>
      </x:c>
    </x:row>
    <x:row r="23" ht="42" customHeight="1">
      <x:c r="A23" s="36" t="str">
        <x:v>LA-003 — Nabi Apartments</x:v>
      </x:c>
      <x:c r="B23" s="36" t="str">
        <x:v>Watch</x:v>
      </x:c>
      <x:c r="C23" s="309" t="n">
        <x:v>72</x:v>
      </x:c>
      <x:c r="D23" s="36" t="str">
        <x:v>New dated active listing clears the date gate, but historic CDFI/project-covenant record requires regulatory confirmation.</x:v>
      </x:c>
      <x:c r="E23" s="36" t="str">
        <x:v>Obtain recorded affordability covenant / title confirmation and current T-12; then reassess for action status.</x:v>
      </x:c>
    </x:row>
    <x:row r="24" ht="42" customHeight="1">
      <x:c r="A24" s="36" t="str">
        <x:v>LA-008 — The Cooper Hollywood</x:v>
      </x:c>
      <x:c r="B24" s="36" t="str">
        <x:v>Watch</x:v>
      </x:c>
      <x:c r="C24" s="309" t="n">
        <x:v>71</x:v>
      </x:c>
      <x:c r="D24" s="36" t="str">
        <x:v>RSO status unresolved.</x:v>
      </x:c>
      <x:c r="E24" s="36" t="str">
        <x:v>Obtain HCIDLA RSO determination and OM rent-regulation disclosure.</x:v>
      </x:c>
    </x:row>
    <x:row r="25" ht="42" customHeight="1">
      <x:c r="A25" s="36" t="str">
        <x:v>FL-006 — The Genesis Clearwater</x:v>
      </x:c>
      <x:c r="B25" s="36" t="str">
        <x:v>Capital Event</x:v>
      </x:c>
      <x:c r="C25" s="309" t="n">
        <x:v>71</x:v>
      </x:c>
      <x:c r="D25" s="36" t="str">
        <x:v>Foreclosure report lacks primary debt / lien evidence.</x:v>
      </x:c>
      <x:c r="E25" s="36" t="str">
        <x:v>Pull Pinellas complaint, mortgage / assignment, balance, lender-borrower linkage, restriction evidence, and current deal contact.</x:v>
      </x:c>
    </x:row>
    <x:row r="26" ht="42" customHeight="1">
      <x:c r="A26" s="36" t="str">
        <x:v>FL-007 — 650 SW 1st St., Miami</x:v>
      </x:c>
      <x:c r="B26" s="36" t="str">
        <x:v>Watch</x:v>
      </x:c>
      <x:c r="C26" s="309" t="n">
        <x:v>70</x:v>
      </x:c>
      <x:c r="D26" s="36" t="str">
        <x:v>Mixed-use / price gate unresolved.</x:v>
      </x:c>
      <x:c r="E26" s="36" t="str">
        <x:v>Obtain signed sale mandate with explicit total ask, rent roll, retail-income share, restriction confirmation, and named broker contact.</x:v>
      </x:c>
    </x:row>
    <x:row r="27" ht="42" customHeight="1">
      <x:c r="A27" s="36" t="str">
        <x:v>FL-005 — The Wave Apartments, Tampa</x:v>
      </x:c>
      <x:c r="B27" s="36" t="str">
        <x:v>Capital Event</x:v>
      </x:c>
      <x:c r="C27" s="309" t="n">
        <x:v>69</x:v>
      </x:c>
      <x:c r="D27" s="36" t="str">
        <x:v>Default reporting lacks primary record.</x:v>
      </x:c>
      <x:c r="E27" s="36" t="str">
        <x:v>Pull Hillsborough complaint, mortgage / assignment, lender-borrower linkage, and restriction evidence.</x:v>
      </x:c>
    </x:row>
    <x:row r="28" ht="42" customHeight="1">
      <x:c r="A28" s="36" t="str">
        <x:v>FL-008 — 300 Majorca Ave., Coral Gables</x:v>
      </x:c>
      <x:c r="B28" s="36" t="str">
        <x:v>Watch</x:v>
      </x:c>
      <x:c r="C28" s="309" t="n">
        <x:v>68</x:v>
      </x:c>
      <x:c r="D28" s="36" t="str">
        <x:v>Market date, rental status, and covenants unresolved.</x:v>
      </x:c>
      <x:c r="E28" s="36" t="str">
        <x:v>Obtain current mandate, listing date, rental-versus-condo status, and covenant confirmation.</x:v>
      </x:c>
    </x:row>
    <x:row r="29" ht="42" customHeight="1">
      <x:c r="A29" s="36" t="str">
        <x:v>LA-013 — Park Terrace Apartments</x:v>
      </x:c>
      <x:c r="B29" s="36" t="str">
        <x:v>Watch</x:v>
      </x:c>
      <x:c r="C29" s="309" t="n">
        <x:v>68</x:v>
      </x:c>
      <x:c r="D29" s="36" t="str">
        <x:v>Current $10.8M / 51-unit listing has 1979 vintage and an aged May listing date; exact certificate-of-occupancy / RSO status is unresolved.</x:v>
      </x:c>
      <x:c r="E29" s="36" t="str">
        <x:v>Confirm City RSO status, recorded covenants, current exclusive mandate, and rent roll before action-queue promotion.</x:v>
      </x:c>
    </x:row>
    <x:row r="31">
      <x:c r="A31" s="312" t="str">
        <x:v>Exclusions and coverage gaps</x:v>
      </x:c>
      <x:c r="B31" s="312"/>
      <x:c r="C31" s="312"/>
      <x:c r="D31" s="312"/>
      <x:c r="E31" s="312"/>
      <x:c r="F31" s="312"/>
      <x:c r="G31" s="312"/>
      <x:c r="H31" s="312"/>
      <x:c r="I31" s="312"/>
      <x:c r="J31" s="312"/>
      <x:c r="K31" s="312"/>
      <x:c r="L31" s="312"/>
      <x:c r="M31" s="312"/>
      <x:c r="N31" s="312"/>
      <x:c r="O31" s="312"/>
      <x:c r="P31" s="312"/>
      <x:c r="Q31" s="312"/>
      <x:c r="R31" s="312"/>
      <x:c r="S31" s="312"/>
    </x:row>
    <x:row r="32">
      <x:c r="A32" s="317" t="str">
        <x:v>Item</x:v>
      </x:c>
      <x:c r="B32" s="317" t="str">
        <x:v>Classification</x:v>
      </x:c>
      <x:c r="C32" s="317" t="str">
        <x:v>Reason</x:v>
      </x:c>
      <x:c r="D32" s="317" t="str">
        <x:v>Source / coverage note</x:v>
      </x:c>
    </x:row>
    <x:row r="33" ht="54" customHeight="1">
      <x:c r="A33" s="318" t="str">
        <x:v>1020 SW 2nd St., Miami</x:v>
      </x:c>
      <x:c r="B33" s="318" t="str">
        <x:v>Excluded</x:v>
      </x:c>
      <x:c r="C33" s="36" t="str">
        <x:v>20 apartments at $325,000/unit imply about $6.5M—below the $10M gate.</x:v>
      </x:c>
      <x:c r="D33" s="36" t="str">
        <x:v>Tier 1 direct listing | https://www.loopnet.com/Listing/1020-SW-2nd-St-Miami-FL/41479349/</x:v>
      </x:c>
    </x:row>
    <x:row r="34" ht="54" customHeight="1">
      <x:c r="A34" s="318" t="str">
        <x:v>PHI-006 — 2328–2344 N. 2nd St.</x:v>
      </x:c>
      <x:c r="B34" s="318" t="str">
        <x:v>Excluded</x:v>
      </x:c>
      <x:c r="C34" s="36" t="str">
        <x:v>33 apartments plus 3,750 SF retail and four townhome-approved parcels: materially mixed / development-inclusive.</x:v>
      </x:c>
      <x:c r="D34" s="36" t="str">
        <x:v>Tier 1 direct listing | https://www.loopnet.com/Listing/2328-2344-N-2nd-St-Philadelphia-PA/41009347/</x:v>
      </x:c>
    </x:row>
    <x:row r="35" ht="54" customHeight="1">
      <x:c r="A35" s="318" t="str">
        <x:v>Retained legacy exclusions</x:v>
      </x:c>
      <x:c r="B35" s="318" t="str">
        <x:v>Excluded</x:v>
      </x:c>
      <x:c r="C35" s="36" t="str">
        <x:v>Development/mixed-use: 2629 NW 17th and Sunshine (Miami); RSO/affordable or un-cleared covenant: The Peake, Centennial, Metropolitan Building; student/rent-by-bed Philadelphia items; unverified availability: Kenmore East.</x:v>
      </x:c>
      <x:c r="D35" s="36" t="str">
        <x:v>Retained from prior verified screenings; do not promote without new primary evidence.</x:v>
      </x:c>
    </x:row>
    <x:row r="36" ht="54" customHeight="1">
      <x:c r="A36" s="318" t="str">
        <x:v>Coverage gaps</x:v>
      </x:c>
      <x:c r="B36" s="318" t="str">
        <x:v>Coverage limitation</x:v>
      </x:c>
      <x:c r="C36" s="36" t="str">
        <x:v>No newly verified action lead in NYC; named North Carolina MSAs; Orlando, Jacksonville, Fort Myers, Naples, Sarasota, Palm Bay, Lakeland, or Daytona Beach.</x:v>
      </x:c>
      <x:c r="D36" s="36" t="str">
        <x:v>Targeted public-source sweep only; absence is not evidence that an eligible property does not exist.</x:v>
      </x:c>
    </x:row>
    <x:row r="38" ht="28" customHeight="1">
      <x:c r="A38" s="326" t="str">
        <x:v>Controls: No outreach was drafted, queued, scheduled, implied, or sent. Outreach requires the user's explicit approval of named lead IDs for this specific run. Historical $20M tabs were not modified.</x:v>
      </x:c>
      <x:c r="B38" s="327"/>
      <x:c r="C38" s="327"/>
      <x:c r="D38" s="327"/>
      <x:c r="E38" s="327"/>
      <x:c r="F38" s="327"/>
      <x:c r="G38" s="327"/>
      <x:c r="H38" s="327"/>
      <x:c r="I38" s="327"/>
      <x:c r="J38" s="327"/>
      <x:c r="K38" s="327"/>
      <x:c r="L38" s="327"/>
      <x:c r="M38" s="327"/>
      <x:c r="N38" s="327"/>
      <x:c r="O38" s="327"/>
      <x:c r="P38" s="327"/>
      <x:c r="Q38" s="327"/>
      <x:c r="R38" s="327"/>
      <x:c r="S38" s="328"/>
    </x:row>
  </x:sheetData>
  <x:mergeCells>
    <x:mergeCell ref="A1:S1"/>
    <x:mergeCell ref="A2:S2"/>
    <x:mergeCell ref="A4:S4"/>
    <x:mergeCell ref="A5:S6"/>
    <x:mergeCell ref="A8:S8"/>
    <x:mergeCell ref="A15:S15"/>
    <x:mergeCell ref="A31:S31"/>
    <x:mergeCell ref="A38:S38"/>
  </x:mergeCells>
  <x:pageMargins left="0.7" right="0.7" top="0.75" bottom="0.75" header="0.3" footer="0.3"/>
</x:worksheet>
</file>